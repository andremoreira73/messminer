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erial 1" sheetId="1" state="visible" r:id="rId3"/>
    <sheet name="material 2 and 3" sheetId="2" state="visible" r:id="rId4"/>
  </sheets>
  <definedNames>
    <definedName function="false" hidden="false" name="BLPH12" vbProcedure="false">#REF!</definedName>
    <definedName function="false" hidden="false" name="BLPH13" vbProcedure="false">#REF!</definedName>
    <definedName function="false" hidden="false" name="BLPH22" vbProcedure="false">#REF!</definedName>
    <definedName function="false" hidden="false" name="BLPH3" vbProcedure="false">#REF!</definedName>
    <definedName function="false" hidden="false" name="BLPH31" vbProcedure="false">#REF!</definedName>
    <definedName function="false" hidden="false" name="BLPH56" vbProcedure="false">#REF!</definedName>
    <definedName function="false" hidden="false" name="BLPH57" vbProcedure="false">#REF!</definedName>
    <definedName function="false" hidden="false" name="BLPH58" vbProcedure="false">#REF!</definedName>
    <definedName function="false" hidden="false" name="BLPH59" vbProcedure="false">#REF!</definedName>
    <definedName function="false" hidden="false" name="BLPH60" vbProcedure="false">#REF!</definedName>
    <definedName function="false" hidden="false" name="BLPH61" vbProcedure="false">#REF!</definedName>
    <definedName function="false" hidden="false" name="BLPH62" vbProcedure="false">#REF!</definedName>
    <definedName function="false" hidden="false" name="BLPH63" vbProcedure="false">#REF!</definedName>
    <definedName function="false" hidden="false" name="BLPH64" vbProcedure="false">#REF!</definedName>
    <definedName function="false" hidden="false" name="BLPH67" vbProcedure="false">#REF!</definedName>
    <definedName function="false" hidden="false" name="BLPH68" vbProcedure="false">#REF!</definedName>
    <definedName function="false" hidden="false" name="_Fill" vbProcedure="false">#REF!</definedName>
    <definedName function="false" hidden="false" name="_Key1" vbProcedure="false">#REF!</definedName>
    <definedName function="false" hidden="false" name="_Key2" vbProcedure="false">#REF!</definedName>
    <definedName function="false" hidden="false" name="_Sort" vbProcedure="false">#REF!</definedName>
    <definedName function="false" hidden="false" name="_Table1_In1" vbProcedure="false">#REF!</definedName>
    <definedName function="false" hidden="false" name="_Table1_Out" vbProcedure="false">#REF!</definedName>
    <definedName function="false" hidden="false" name="_Table2_In1" vbProcedure="false">#REF!</definedName>
    <definedName function="false" hidden="false" name="_Table2_In2" vbProcedure="false">#REF!</definedName>
    <definedName function="false" hidden="false" name="_Table2_Ou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<sst xmlns="http://schemas.openxmlformats.org/spreadsheetml/2006/main" count="228" uniqueCount="30">
  <si>
    <t xml:space="preserve">random seed</t>
  </si>
  <si>
    <t xml:space="preserve">material 1</t>
  </si>
  <si>
    <t xml:space="preserve">Hersteller</t>
  </si>
  <si>
    <t xml:space="preserve">Typ</t>
  </si>
  <si>
    <t xml:space="preserve">V [m3]</t>
  </si>
  <si>
    <t xml:space="preserve">Ø</t>
  </si>
  <si>
    <t xml:space="preserve">H</t>
  </si>
  <si>
    <t xml:space="preserve">Preis [€]</t>
  </si>
  <si>
    <t xml:space="preserve">Material</t>
  </si>
  <si>
    <t xml:space="preserve">CEPCI</t>
  </si>
  <si>
    <t xml:space="preserve">Stand</t>
  </si>
  <si>
    <t xml:space="preserve">notes</t>
  </si>
  <si>
    <t xml:space="preserve">manuf 1</t>
  </si>
  <si>
    <t xml:space="preserve">Tank</t>
  </si>
  <si>
    <t xml:space="preserve">gerührter Behälter</t>
  </si>
  <si>
    <t xml:space="preserve">manuf 2</t>
  </si>
  <si>
    <t xml:space="preserve">Behälter</t>
  </si>
  <si>
    <t xml:space="preserve">manuf 3</t>
  </si>
  <si>
    <t xml:space="preserve">manuf 4</t>
  </si>
  <si>
    <t xml:space="preserve">Bemerkungen</t>
  </si>
  <si>
    <t xml:space="preserve">manuf 5</t>
  </si>
  <si>
    <t xml:space="preserve">material 2 and 3</t>
  </si>
  <si>
    <t xml:space="preserve">Umrechnungskurs</t>
  </si>
  <si>
    <t xml:space="preserve">material 2</t>
  </si>
  <si>
    <t xml:space="preserve">manuf 6</t>
  </si>
  <si>
    <t xml:space="preserve">manuf 7</t>
  </si>
  <si>
    <t xml:space="preserve">material 3</t>
  </si>
  <si>
    <t xml:space="preserve">manuf 8</t>
  </si>
  <si>
    <t xml:space="preserve">Column 1</t>
  </si>
  <si>
    <t xml:space="preserve">Reaktor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</si>
</sst>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&quot; m³&quot;"/>
    <numFmt numFmtId="167" formatCode="#,##0.0&quot; m&quot;"/>
    <numFmt numFmtId="168" formatCode="_-* #,##0&quot; €&quot;_-;\-* #,##0&quot; €&quot;_-;_-* \-??&quot; €&quot;_-;_-@"/>
    <numFmt numFmtId="169" formatCode="[$-407]mmmm\ yy"/>
    <numFmt numFmtId="170" formatCode="#,##0&quot; €/m³&quot;"/>
    <numFmt numFmtId="171" formatCode="[$$-409]#,##0.00"/>
    <numFmt numFmtId="172" formatCode="_-* #,##0.00&quot; €&quot;_-;\-* #,##0.00&quot; €&quot;_-;_-* \-??&quot; €&quot;_-;_-@"/>
  </numFmts>
  <fonts count="12">
    <font>
      <sz val="11"/>
      <color theme="1"/>
      <name val="Utsaah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Utsaah"/>
      <family val="0"/>
      <charset val="1"/>
    </font>
    <font>
      <sz val="11"/>
      <color theme="1"/>
      <name val="Calibri"/>
      <family val="0"/>
      <charset val="1"/>
    </font>
    <font>
      <b val="true"/>
      <sz val="22"/>
      <color theme="1"/>
      <name val="Calibri"/>
      <family val="0"/>
      <charset val="1"/>
    </font>
    <font>
      <sz val="12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DBE5F1"/>
        <bgColor rgb="FFCCFFFF"/>
      </patternFill>
    </fill>
    <fill>
      <patternFill patternType="solid">
        <fgColor rgb="FFFF00FF"/>
        <bgColor rgb="FFFF00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>
        <color rgb="FF95B3D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BE5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Utsaah" pitchFamily="0" charset="1"/>
        <a:ea typeface="Utsaah" pitchFamily="0" charset="1"/>
        <a:cs typeface="Utsaah" pitchFamily="0" charset="1"/>
      </a:majorFont>
      <a:minorFont>
        <a:latin typeface="Utsaah" pitchFamily="0" charset="1"/>
        <a:ea typeface="Utsaah" pitchFamily="0" charset="1"/>
        <a:cs typeface="Utsaah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1"/>
  <cols>
    <col collapsed="false" customWidth="true" hidden="false" outlineLevel="0" max="4" min="1" style="0" width="12"/>
    <col collapsed="false" customWidth="true" hidden="false" outlineLevel="1" max="8" min="5" style="0" width="12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9" min="11" style="0" width="12"/>
  </cols>
  <sheetData>
    <row r="1" customFormat="false" ht="16.5" hidden="false" customHeight="true" outlineLevel="0" collapsed="false">
      <c r="A1" s="1" t="s">
        <v>0</v>
      </c>
      <c r="B1" s="2" t="n">
        <v>830</v>
      </c>
      <c r="C1" s="3"/>
      <c r="D1" s="4"/>
      <c r="G1" s="1"/>
      <c r="H1" s="5"/>
      <c r="I1" s="5"/>
      <c r="J1" s="5"/>
      <c r="K1" s="5"/>
    </row>
    <row r="2" customFormat="false" ht="16.5" hidden="false" customHeight="true" outlineLevel="0" collapsed="false">
      <c r="D2" s="4"/>
    </row>
    <row r="3" customFormat="false" ht="16.5" hidden="false" customHeight="true" outlineLevel="0" collapsed="false">
      <c r="A3" s="6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customFormat="false" ht="16.5" hidden="false" customHeight="true" outlineLevel="0" collapsed="false">
      <c r="A4" s="7"/>
      <c r="B4" s="7"/>
      <c r="C4" s="7"/>
      <c r="D4" s="8"/>
      <c r="E4" s="7"/>
      <c r="F4" s="7"/>
      <c r="G4" s="7"/>
      <c r="H4" s="7"/>
      <c r="I4" s="7"/>
      <c r="J4" s="7"/>
      <c r="K4" s="7"/>
    </row>
    <row r="5" customFormat="false" ht="16.5" hidden="false" customHeight="true" outlineLevel="0" collapsed="false">
      <c r="A5" s="7"/>
      <c r="B5" s="7" t="s">
        <v>2</v>
      </c>
      <c r="C5" s="7" t="s">
        <v>3</v>
      </c>
      <c r="D5" s="8" t="s">
        <v>4</v>
      </c>
      <c r="E5" s="7" t="s">
        <v>5</v>
      </c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</row>
    <row r="6" customFormat="false" ht="16.5" hidden="false" customHeight="true" outlineLevel="0" collapsed="false">
      <c r="A6" s="9"/>
      <c r="B6" s="9" t="s">
        <v>12</v>
      </c>
      <c r="C6" s="9" t="s">
        <v>13</v>
      </c>
      <c r="D6" s="10" t="n">
        <v>1</v>
      </c>
      <c r="E6" s="11" t="n">
        <v>1.056</v>
      </c>
      <c r="F6" s="11" t="n">
        <v>1.144</v>
      </c>
      <c r="G6" s="12" t="n">
        <v>1</v>
      </c>
      <c r="H6" s="9" t="s">
        <v>1</v>
      </c>
      <c r="I6" s="9" t="n">
        <v>567.3</v>
      </c>
      <c r="J6" s="13" t="n">
        <v>41540</v>
      </c>
      <c r="K6" s="9"/>
    </row>
    <row r="7" customFormat="false" ht="16.5" hidden="false" customHeight="true" outlineLevel="0" collapsed="false">
      <c r="A7" s="9"/>
      <c r="B7" s="9" t="s">
        <v>12</v>
      </c>
      <c r="C7" s="9" t="s">
        <v>13</v>
      </c>
      <c r="D7" s="10" t="n">
        <v>5</v>
      </c>
      <c r="E7" s="11" t="n">
        <v>1.805</v>
      </c>
      <c r="F7" s="11" t="n">
        <v>1.955</v>
      </c>
      <c r="G7" s="12" t="n">
        <v>2</v>
      </c>
      <c r="H7" s="9" t="s">
        <v>1</v>
      </c>
      <c r="I7" s="9" t="n">
        <v>567.3</v>
      </c>
      <c r="J7" s="13" t="n">
        <v>41540</v>
      </c>
      <c r="K7" s="9"/>
    </row>
    <row r="8" customFormat="false" ht="16.5" hidden="false" customHeight="true" outlineLevel="0" collapsed="false">
      <c r="A8" s="9"/>
      <c r="B8" s="9" t="s">
        <v>12</v>
      </c>
      <c r="C8" s="9" t="s">
        <v>13</v>
      </c>
      <c r="D8" s="10" t="n">
        <v>7</v>
      </c>
      <c r="E8" s="11" t="n">
        <v>2.074</v>
      </c>
      <c r="F8" s="11" t="n">
        <v>2.074</v>
      </c>
      <c r="G8" s="12" t="n">
        <v>3</v>
      </c>
      <c r="H8" s="9" t="s">
        <v>1</v>
      </c>
      <c r="I8" s="9" t="n">
        <v>567.3</v>
      </c>
      <c r="J8" s="13" t="n">
        <v>41540</v>
      </c>
      <c r="K8" s="9"/>
    </row>
    <row r="9" customFormat="false" ht="16.5" hidden="false" customHeight="true" outlineLevel="0" collapsed="false">
      <c r="A9" s="9"/>
      <c r="B9" s="9" t="s">
        <v>12</v>
      </c>
      <c r="C9" s="9" t="s">
        <v>14</v>
      </c>
      <c r="D9" s="10" t="n">
        <v>10</v>
      </c>
      <c r="E9" s="11" t="n">
        <v>2.336</v>
      </c>
      <c r="F9" s="11" t="n">
        <v>2.336</v>
      </c>
      <c r="G9" s="12" t="n">
        <v>4</v>
      </c>
      <c r="H9" s="9" t="s">
        <v>1</v>
      </c>
      <c r="I9" s="9" t="n">
        <v>567.3</v>
      </c>
      <c r="J9" s="13" t="n">
        <v>41540</v>
      </c>
      <c r="K9" s="9"/>
    </row>
    <row r="10" customFormat="false" ht="16.5" hidden="false" customHeight="true" outlineLevel="0" collapsed="false">
      <c r="A10" s="9"/>
      <c r="B10" s="9" t="s">
        <v>12</v>
      </c>
      <c r="C10" s="9" t="s">
        <v>13</v>
      </c>
      <c r="D10" s="10" t="n">
        <v>40</v>
      </c>
      <c r="E10" s="11" t="n">
        <v>3.707</v>
      </c>
      <c r="F10" s="11" t="n">
        <v>3.707</v>
      </c>
      <c r="G10" s="12" t="n">
        <v>5</v>
      </c>
      <c r="H10" s="9" t="s">
        <v>1</v>
      </c>
      <c r="I10" s="9" t="n">
        <v>567.3</v>
      </c>
      <c r="J10" s="13" t="n">
        <v>41540</v>
      </c>
      <c r="K10" s="9"/>
    </row>
    <row r="11" customFormat="false" ht="16.5" hidden="false" customHeight="true" outlineLevel="0" collapsed="false">
      <c r="A11" s="9"/>
      <c r="B11" s="9" t="s">
        <v>12</v>
      </c>
      <c r="C11" s="9" t="s">
        <v>13</v>
      </c>
      <c r="D11" s="10" t="n">
        <v>45</v>
      </c>
      <c r="E11" s="11" t="n">
        <v>3.624</v>
      </c>
      <c r="F11" s="11" t="n">
        <v>4.36</v>
      </c>
      <c r="G11" s="12" t="n">
        <v>6</v>
      </c>
      <c r="H11" s="9" t="s">
        <v>1</v>
      </c>
      <c r="I11" s="9" t="n">
        <v>567.3</v>
      </c>
      <c r="J11" s="13" t="n">
        <v>41540</v>
      </c>
      <c r="K11" s="9"/>
    </row>
    <row r="12" customFormat="false" ht="16.5" hidden="false" customHeight="true" outlineLevel="0" collapsed="false">
      <c r="A12" s="9"/>
      <c r="B12" s="9" t="s">
        <v>12</v>
      </c>
      <c r="C12" s="9" t="s">
        <v>13</v>
      </c>
      <c r="D12" s="10" t="n">
        <v>45</v>
      </c>
      <c r="E12" s="11" t="n">
        <v>3.624</v>
      </c>
      <c r="F12" s="11" t="n">
        <v>4.36</v>
      </c>
      <c r="G12" s="12" t="n">
        <v>7</v>
      </c>
      <c r="H12" s="9" t="s">
        <v>1</v>
      </c>
      <c r="I12" s="9" t="n">
        <v>567.3</v>
      </c>
      <c r="J12" s="13" t="n">
        <v>41540</v>
      </c>
      <c r="K12" s="9"/>
    </row>
    <row r="13" customFormat="false" ht="16.5" hidden="false" customHeight="true" outlineLevel="0" collapsed="false">
      <c r="A13" s="9"/>
      <c r="B13" s="9" t="s">
        <v>12</v>
      </c>
      <c r="C13" s="9" t="s">
        <v>13</v>
      </c>
      <c r="D13" s="10" t="n">
        <v>60</v>
      </c>
      <c r="E13" s="11" t="n">
        <v>4.244</v>
      </c>
      <c r="F13" s="11" t="n">
        <v>4.244</v>
      </c>
      <c r="G13" s="12" t="n">
        <v>8</v>
      </c>
      <c r="H13" s="9" t="s">
        <v>1</v>
      </c>
      <c r="I13" s="9" t="n">
        <v>567.3</v>
      </c>
      <c r="J13" s="13" t="n">
        <v>41540</v>
      </c>
      <c r="K13" s="9"/>
    </row>
    <row r="14" customFormat="false" ht="16.5" hidden="false" customHeight="true" outlineLevel="0" collapsed="false">
      <c r="A14" s="9"/>
      <c r="B14" s="9" t="s">
        <v>12</v>
      </c>
      <c r="C14" s="9" t="s">
        <v>13</v>
      </c>
      <c r="D14" s="10" t="n">
        <v>400</v>
      </c>
      <c r="E14" s="11" t="n">
        <v>7.776</v>
      </c>
      <c r="F14" s="11" t="n">
        <v>8.424</v>
      </c>
      <c r="G14" s="12" t="n">
        <v>9</v>
      </c>
      <c r="H14" s="9" t="s">
        <v>1</v>
      </c>
      <c r="I14" s="9" t="n">
        <v>567.3</v>
      </c>
      <c r="J14" s="13" t="n">
        <v>41540</v>
      </c>
      <c r="K14" s="9"/>
    </row>
    <row r="15" customFormat="false" ht="16.5" hidden="false" customHeight="true" outlineLevel="0" collapsed="false">
      <c r="A15" s="9"/>
      <c r="B15" s="9" t="s">
        <v>12</v>
      </c>
      <c r="C15" s="9" t="s">
        <v>13</v>
      </c>
      <c r="D15" s="10" t="n">
        <v>500</v>
      </c>
      <c r="E15" s="11" t="n">
        <v>8.6</v>
      </c>
      <c r="F15" s="11" t="n">
        <v>8.6</v>
      </c>
      <c r="G15" s="12" t="n">
        <v>10</v>
      </c>
      <c r="H15" s="9" t="s">
        <v>1</v>
      </c>
      <c r="I15" s="9" t="n">
        <v>567.3</v>
      </c>
      <c r="J15" s="13" t="n">
        <v>41341</v>
      </c>
      <c r="K15" s="9"/>
    </row>
    <row r="16" customFormat="false" ht="16.5" hidden="false" customHeight="true" outlineLevel="0" collapsed="false">
      <c r="A16" s="9"/>
      <c r="B16" s="9" t="s">
        <v>15</v>
      </c>
      <c r="C16" s="9" t="s">
        <v>16</v>
      </c>
      <c r="D16" s="10" t="n">
        <v>50</v>
      </c>
      <c r="E16" s="11" t="n">
        <v>4</v>
      </c>
      <c r="F16" s="11" t="n">
        <v>4.5</v>
      </c>
      <c r="G16" s="12" t="n">
        <v>11</v>
      </c>
      <c r="H16" s="9" t="s">
        <v>1</v>
      </c>
      <c r="I16" s="9" t="n">
        <v>567.3</v>
      </c>
      <c r="J16" s="13" t="n">
        <v>41782</v>
      </c>
      <c r="K16" s="9"/>
    </row>
    <row r="17" customFormat="false" ht="16.5" hidden="false" customHeight="true" outlineLevel="0" collapsed="false">
      <c r="A17" s="9"/>
      <c r="B17" s="9" t="s">
        <v>15</v>
      </c>
      <c r="C17" s="9" t="s">
        <v>16</v>
      </c>
      <c r="D17" s="10" t="n">
        <v>125</v>
      </c>
      <c r="E17" s="11" t="n">
        <v>4</v>
      </c>
      <c r="F17" s="11" t="n">
        <v>10.5</v>
      </c>
      <c r="G17" s="12" t="n">
        <v>12</v>
      </c>
      <c r="H17" s="9" t="s">
        <v>1</v>
      </c>
      <c r="I17" s="9" t="n">
        <v>567.3</v>
      </c>
      <c r="J17" s="13" t="n">
        <v>41782</v>
      </c>
      <c r="K17" s="9"/>
    </row>
    <row r="18" customFormat="false" ht="16.5" hidden="false" customHeight="true" outlineLevel="0" collapsed="false">
      <c r="A18" s="9"/>
      <c r="B18" s="9" t="s">
        <v>17</v>
      </c>
      <c r="C18" s="9" t="s">
        <v>13</v>
      </c>
      <c r="D18" s="10" t="n">
        <v>50</v>
      </c>
      <c r="E18" s="11" t="n">
        <v>4</v>
      </c>
      <c r="F18" s="11" t="n">
        <v>4.5</v>
      </c>
      <c r="G18" s="12" t="n">
        <v>13</v>
      </c>
      <c r="H18" s="9" t="s">
        <v>1</v>
      </c>
      <c r="I18" s="9" t="n">
        <v>567.3</v>
      </c>
      <c r="J18" s="13" t="n">
        <v>41778</v>
      </c>
      <c r="K18" s="9"/>
    </row>
    <row r="19" customFormat="false" ht="16.5" hidden="false" customHeight="true" outlineLevel="0" collapsed="false">
      <c r="A19" s="9"/>
      <c r="B19" s="9" t="s">
        <v>17</v>
      </c>
      <c r="C19" s="9" t="s">
        <v>13</v>
      </c>
      <c r="D19" s="14" t="n">
        <v>50</v>
      </c>
      <c r="E19" s="15" t="n">
        <v>4</v>
      </c>
      <c r="F19" s="15" t="n">
        <v>4</v>
      </c>
      <c r="G19" s="12" t="n">
        <v>14</v>
      </c>
      <c r="H19" s="9" t="s">
        <v>1</v>
      </c>
      <c r="I19" s="9" t="n">
        <v>567.6</v>
      </c>
      <c r="J19" s="13" t="n">
        <v>41618</v>
      </c>
      <c r="K19" s="9"/>
    </row>
    <row r="20" customFormat="false" ht="16.5" hidden="false" customHeight="true" outlineLevel="0" collapsed="false">
      <c r="A20" s="9"/>
      <c r="B20" s="9" t="s">
        <v>17</v>
      </c>
      <c r="C20" s="9" t="s">
        <v>13</v>
      </c>
      <c r="D20" s="14" t="n">
        <v>100</v>
      </c>
      <c r="E20" s="15" t="n">
        <v>4</v>
      </c>
      <c r="F20" s="15" t="n">
        <v>8</v>
      </c>
      <c r="G20" s="12" t="n">
        <v>15</v>
      </c>
      <c r="H20" s="9" t="s">
        <v>1</v>
      </c>
      <c r="I20" s="9" t="n">
        <v>567.6</v>
      </c>
      <c r="J20" s="13" t="n">
        <v>41618</v>
      </c>
      <c r="K20" s="9"/>
    </row>
    <row r="21" customFormat="false" ht="16.5" hidden="false" customHeight="true" outlineLevel="0" collapsed="false">
      <c r="A21" s="9"/>
      <c r="B21" s="9" t="s">
        <v>17</v>
      </c>
      <c r="C21" s="9" t="s">
        <v>13</v>
      </c>
      <c r="D21" s="14" t="n">
        <v>250</v>
      </c>
      <c r="E21" s="15" t="n">
        <v>8</v>
      </c>
      <c r="F21" s="15" t="n">
        <v>5</v>
      </c>
      <c r="G21" s="12" t="n">
        <v>16</v>
      </c>
      <c r="H21" s="9" t="s">
        <v>1</v>
      </c>
      <c r="I21" s="9" t="n">
        <v>567.6</v>
      </c>
      <c r="J21" s="13" t="n">
        <v>41618</v>
      </c>
      <c r="K21" s="9"/>
    </row>
    <row r="22" customFormat="false" ht="16.5" hidden="false" customHeight="true" outlineLevel="0" collapsed="false">
      <c r="A22" s="9"/>
      <c r="B22" s="9" t="s">
        <v>17</v>
      </c>
      <c r="C22" s="9" t="s">
        <v>13</v>
      </c>
      <c r="D22" s="10" t="n">
        <v>100</v>
      </c>
      <c r="E22" s="11" t="n">
        <v>4</v>
      </c>
      <c r="F22" s="11" t="n">
        <v>8</v>
      </c>
      <c r="G22" s="12" t="n">
        <v>17</v>
      </c>
      <c r="H22" s="9" t="s">
        <v>1</v>
      </c>
      <c r="I22" s="9" t="n">
        <v>567.3</v>
      </c>
      <c r="J22" s="13" t="n">
        <v>41778</v>
      </c>
      <c r="K22" s="9"/>
    </row>
    <row r="23" customFormat="false" ht="16.5" hidden="false" customHeight="true" outlineLevel="0" collapsed="false">
      <c r="A23" s="9"/>
      <c r="B23" s="9" t="s">
        <v>17</v>
      </c>
      <c r="C23" s="9" t="s">
        <v>13</v>
      </c>
      <c r="D23" s="10" t="n">
        <v>125</v>
      </c>
      <c r="E23" s="11" t="n">
        <v>4</v>
      </c>
      <c r="F23" s="11" t="n">
        <v>10.5</v>
      </c>
      <c r="G23" s="12" t="n">
        <v>18</v>
      </c>
      <c r="H23" s="9" t="s">
        <v>1</v>
      </c>
      <c r="I23" s="9" t="n">
        <v>567.3</v>
      </c>
      <c r="J23" s="13" t="n">
        <v>41778</v>
      </c>
      <c r="K23" s="9"/>
    </row>
    <row r="24" customFormat="false" ht="16.5" hidden="false" customHeight="true" outlineLevel="0" collapsed="false">
      <c r="A24" s="9"/>
      <c r="B24" s="9" t="s">
        <v>17</v>
      </c>
      <c r="C24" s="9" t="s">
        <v>13</v>
      </c>
      <c r="D24" s="10" t="n">
        <v>250</v>
      </c>
      <c r="E24" s="11" t="n">
        <v>8</v>
      </c>
      <c r="F24" s="11" t="n">
        <v>5</v>
      </c>
      <c r="G24" s="12" t="n">
        <v>19</v>
      </c>
      <c r="H24" s="9" t="s">
        <v>1</v>
      </c>
      <c r="I24" s="9" t="n">
        <v>567.3</v>
      </c>
      <c r="J24" s="13" t="n">
        <v>41778</v>
      </c>
      <c r="K24" s="9"/>
    </row>
    <row r="25" customFormat="false" ht="16.5" hidden="false" customHeight="true" outlineLevel="0" collapsed="false">
      <c r="A25" s="9"/>
      <c r="B25" s="9" t="s">
        <v>18</v>
      </c>
      <c r="C25" s="9" t="s">
        <v>16</v>
      </c>
      <c r="D25" s="10" t="n">
        <v>50</v>
      </c>
      <c r="E25" s="11" t="n">
        <v>4</v>
      </c>
      <c r="F25" s="11" t="n">
        <v>3.98</v>
      </c>
      <c r="G25" s="12" t="n">
        <v>20</v>
      </c>
      <c r="H25" s="9" t="s">
        <v>1</v>
      </c>
      <c r="I25" s="9" t="n">
        <v>567.3</v>
      </c>
      <c r="J25" s="13" t="n">
        <v>41800</v>
      </c>
      <c r="K25" s="9"/>
    </row>
    <row r="26" customFormat="false" ht="16.5" hidden="false" customHeight="true" outlineLevel="0" collapsed="false">
      <c r="A26" s="9"/>
      <c r="B26" s="9" t="s">
        <v>18</v>
      </c>
      <c r="C26" s="9" t="s">
        <v>16</v>
      </c>
      <c r="D26" s="10" t="n">
        <v>125</v>
      </c>
      <c r="E26" s="11" t="n">
        <v>4</v>
      </c>
      <c r="F26" s="11" t="n">
        <v>9.955</v>
      </c>
      <c r="G26" s="12" t="n">
        <v>21</v>
      </c>
      <c r="H26" s="9" t="s">
        <v>1</v>
      </c>
      <c r="I26" s="9" t="n">
        <v>567.3</v>
      </c>
      <c r="J26" s="13" t="n">
        <v>41793</v>
      </c>
      <c r="K26" s="9"/>
    </row>
    <row r="27" customFormat="false" ht="16.5" hidden="false" customHeight="true" outlineLevel="0" collapsed="false">
      <c r="A27" s="9"/>
      <c r="B27" s="9" t="s">
        <v>18</v>
      </c>
      <c r="C27" s="9" t="s">
        <v>16</v>
      </c>
      <c r="D27" s="10" t="n">
        <v>1</v>
      </c>
      <c r="E27" s="11"/>
      <c r="F27" s="11"/>
      <c r="G27" s="12" t="n">
        <v>22</v>
      </c>
      <c r="H27" s="9"/>
      <c r="I27" s="9" t="n">
        <v>585.7</v>
      </c>
      <c r="J27" s="9" t="n">
        <v>2011</v>
      </c>
      <c r="K27" s="9"/>
    </row>
    <row r="28" customFormat="false" ht="16.5" hidden="false" customHeight="true" outlineLevel="0" collapsed="false">
      <c r="A28" s="9"/>
      <c r="B28" s="9" t="s">
        <v>18</v>
      </c>
      <c r="C28" s="9" t="s">
        <v>16</v>
      </c>
      <c r="D28" s="10" t="n">
        <v>50</v>
      </c>
      <c r="E28" s="11"/>
      <c r="F28" s="11"/>
      <c r="G28" s="12" t="n">
        <v>23</v>
      </c>
      <c r="H28" s="9"/>
      <c r="I28" s="9" t="n">
        <v>585.7</v>
      </c>
      <c r="J28" s="9" t="n">
        <v>2011</v>
      </c>
      <c r="K28" s="9"/>
    </row>
    <row r="29" customFormat="false" ht="16.5" hidden="false" customHeight="true" outlineLevel="0" collapsed="false">
      <c r="A29" s="9"/>
      <c r="B29" s="9" t="s">
        <v>18</v>
      </c>
      <c r="C29" s="9" t="s">
        <v>16</v>
      </c>
      <c r="D29" s="10" t="n">
        <v>75</v>
      </c>
      <c r="E29" s="11"/>
      <c r="F29" s="11"/>
      <c r="G29" s="12" t="n">
        <v>24</v>
      </c>
      <c r="H29" s="9"/>
      <c r="I29" s="9" t="n">
        <v>585.7</v>
      </c>
      <c r="J29" s="9" t="n">
        <v>2011</v>
      </c>
      <c r="K29" s="9"/>
    </row>
    <row r="30" customFormat="false" ht="16.5" hidden="false" customHeight="true" outlineLevel="0" collapsed="false">
      <c r="A30" s="9"/>
      <c r="B30" s="9" t="s">
        <v>18</v>
      </c>
      <c r="C30" s="9" t="s">
        <v>16</v>
      </c>
      <c r="D30" s="10" t="n">
        <v>110</v>
      </c>
      <c r="E30" s="11"/>
      <c r="F30" s="11"/>
      <c r="G30" s="12" t="n">
        <v>25</v>
      </c>
      <c r="H30" s="9"/>
      <c r="I30" s="9" t="n">
        <v>585.7</v>
      </c>
      <c r="J30" s="9" t="n">
        <v>2011</v>
      </c>
      <c r="K30" s="9"/>
    </row>
    <row r="31" customFormat="false" ht="16.5" hidden="false" customHeight="true" outlineLevel="0" collapsed="false">
      <c r="A31" s="5"/>
      <c r="B31" s="16"/>
      <c r="C31" s="17"/>
      <c r="D31" s="18"/>
      <c r="E31" s="19"/>
      <c r="F31" s="19"/>
      <c r="G31" s="17"/>
      <c r="H31" s="5"/>
      <c r="I31" s="5"/>
      <c r="J31" s="5"/>
      <c r="K31" s="5"/>
    </row>
    <row r="32" customFormat="false" ht="16.5" hidden="false" customHeight="true" outlineLevel="0" collapsed="false">
      <c r="A32" s="5"/>
      <c r="B32" s="16"/>
      <c r="C32" s="17"/>
      <c r="D32" s="18"/>
      <c r="E32" s="19"/>
      <c r="F32" s="19"/>
      <c r="G32" s="17"/>
      <c r="H32" s="5"/>
      <c r="I32" s="5"/>
      <c r="J32" s="5"/>
      <c r="K32" s="5"/>
    </row>
    <row r="33" customFormat="false" ht="16.5" hidden="false" customHeight="true" outlineLevel="0" collapsed="false">
      <c r="A33" s="5"/>
      <c r="B33" s="16"/>
      <c r="C33" s="17"/>
      <c r="D33" s="18"/>
      <c r="E33" s="19"/>
      <c r="F33" s="19"/>
      <c r="G33" s="5"/>
      <c r="H33" s="5"/>
      <c r="I33" s="5"/>
      <c r="J33" s="5"/>
      <c r="K33" s="5"/>
    </row>
    <row r="34" customFormat="false" ht="16.5" hidden="false" customHeight="true" outlineLevel="0" collapsed="false">
      <c r="A34" s="5"/>
      <c r="B34" s="16"/>
      <c r="C34" s="17"/>
      <c r="D34" s="18"/>
      <c r="E34" s="19"/>
      <c r="F34" s="19"/>
      <c r="G34" s="5"/>
      <c r="H34" s="5"/>
      <c r="I34" s="5"/>
      <c r="J34" s="5"/>
      <c r="K34" s="5"/>
    </row>
    <row r="35" customFormat="false" ht="16.5" hidden="false" customHeight="true" outlineLevel="0" collapsed="false">
      <c r="A35" s="5"/>
      <c r="B35" s="5"/>
      <c r="C35" s="5"/>
      <c r="D35" s="20"/>
      <c r="E35" s="5"/>
      <c r="F35" s="5"/>
      <c r="G35" s="5"/>
      <c r="H35" s="5"/>
      <c r="I35" s="5"/>
      <c r="J35" s="5"/>
      <c r="K35" s="5"/>
    </row>
    <row r="36" customFormat="false" ht="16.5" hidden="false" customHeight="true" outlineLevel="0" collapsed="false">
      <c r="A36" s="5"/>
      <c r="B36" s="5"/>
      <c r="C36" s="5"/>
      <c r="D36" s="20"/>
      <c r="E36" s="5"/>
      <c r="F36" s="5"/>
      <c r="G36" s="5"/>
      <c r="H36" s="5"/>
      <c r="I36" s="5"/>
      <c r="J36" s="5"/>
      <c r="K36" s="5"/>
    </row>
    <row r="37" customFormat="false" ht="16.5" hidden="false" customHeight="true" outlineLevel="0" collapsed="false">
      <c r="A37" s="5"/>
      <c r="B37" s="5"/>
      <c r="C37" s="5"/>
      <c r="D37" s="20"/>
      <c r="E37" s="5"/>
      <c r="F37" s="5"/>
      <c r="G37" s="5"/>
      <c r="H37" s="5"/>
      <c r="I37" s="5"/>
      <c r="J37" s="5"/>
      <c r="K37" s="5"/>
    </row>
    <row r="38" customFormat="false" ht="16.5" hidden="false" customHeight="true" outlineLevel="0" collapsed="false">
      <c r="A38" s="5"/>
      <c r="B38" s="5"/>
      <c r="C38" s="5"/>
      <c r="D38" s="20"/>
      <c r="E38" s="5"/>
      <c r="F38" s="5"/>
      <c r="G38" s="5"/>
      <c r="H38" s="5"/>
      <c r="I38" s="5"/>
      <c r="J38" s="5"/>
      <c r="K38" s="5"/>
    </row>
    <row r="39" customFormat="false" ht="16.5" hidden="false" customHeight="true" outlineLevel="0" collapsed="false">
      <c r="A39" s="5"/>
      <c r="B39" s="5"/>
      <c r="C39" s="5"/>
      <c r="D39" s="20"/>
      <c r="E39" s="5"/>
      <c r="F39" s="5"/>
      <c r="G39" s="5"/>
      <c r="H39" s="5"/>
      <c r="I39" s="5"/>
      <c r="J39" s="5"/>
      <c r="K39" s="5"/>
    </row>
    <row r="40" customFormat="false" ht="16.5" hidden="false" customHeight="true" outlineLevel="0" collapsed="false">
      <c r="A40" s="5"/>
      <c r="B40" s="5"/>
      <c r="C40" s="5"/>
      <c r="D40" s="20"/>
      <c r="E40" s="5"/>
      <c r="F40" s="5"/>
      <c r="G40" s="5"/>
      <c r="H40" s="5"/>
      <c r="I40" s="5"/>
      <c r="J40" s="5"/>
      <c r="K40" s="5"/>
    </row>
    <row r="41" customFormat="false" ht="16.5" hidden="false" customHeight="true" outlineLevel="0" collapsed="false">
      <c r="A41" s="5"/>
      <c r="B41" s="5"/>
      <c r="C41" s="5"/>
      <c r="D41" s="20"/>
      <c r="E41" s="5"/>
      <c r="F41" s="5"/>
      <c r="G41" s="5"/>
      <c r="H41" s="5"/>
      <c r="I41" s="5"/>
      <c r="J41" s="5"/>
      <c r="K41" s="5"/>
    </row>
    <row r="42" customFormat="false" ht="16.5" hidden="false" customHeight="true" outlineLevel="0" collapsed="false">
      <c r="A42" s="5"/>
      <c r="B42" s="5"/>
      <c r="C42" s="5"/>
      <c r="D42" s="20"/>
      <c r="E42" s="5"/>
      <c r="F42" s="5"/>
      <c r="G42" s="5"/>
      <c r="H42" s="5"/>
      <c r="I42" s="5"/>
      <c r="J42" s="5"/>
      <c r="K42" s="5"/>
    </row>
    <row r="43" customFormat="false" ht="16.5" hidden="false" customHeight="true" outlineLevel="0" collapsed="false">
      <c r="A43" s="7" t="s">
        <v>1</v>
      </c>
      <c r="B43" s="7" t="s">
        <v>2</v>
      </c>
      <c r="C43" s="7" t="s">
        <v>3</v>
      </c>
      <c r="D43" s="8" t="s">
        <v>4</v>
      </c>
      <c r="E43" s="7" t="s">
        <v>5</v>
      </c>
      <c r="F43" s="7" t="s">
        <v>6</v>
      </c>
      <c r="G43" s="7" t="s">
        <v>7</v>
      </c>
      <c r="H43" s="7" t="s">
        <v>8</v>
      </c>
      <c r="I43" s="7" t="s">
        <v>9</v>
      </c>
      <c r="J43" s="7" t="s">
        <v>10</v>
      </c>
      <c r="K43" s="7" t="s">
        <v>19</v>
      </c>
    </row>
    <row r="44" customFormat="false" ht="16.5" hidden="false" customHeight="true" outlineLevel="0" collapsed="false">
      <c r="A44" s="9"/>
      <c r="B44" s="9" t="s">
        <v>20</v>
      </c>
      <c r="C44" s="9" t="s">
        <v>14</v>
      </c>
      <c r="D44" s="10" t="n">
        <v>5</v>
      </c>
      <c r="E44" s="11" t="n">
        <v>1.854</v>
      </c>
      <c r="F44" s="11" t="n">
        <v>1.854</v>
      </c>
      <c r="G44" s="12" t="n">
        <v>26</v>
      </c>
      <c r="H44" s="9" t="s">
        <v>1</v>
      </c>
      <c r="I44" s="9" t="n">
        <v>567.3</v>
      </c>
      <c r="J44" s="13" t="n">
        <v>41540</v>
      </c>
      <c r="K44" s="9"/>
    </row>
    <row r="45" customFormat="false" ht="16.5" hidden="false" customHeight="true" outlineLevel="0" collapsed="false">
      <c r="A45" s="9"/>
      <c r="B45" s="9"/>
      <c r="C45" s="9"/>
      <c r="D45" s="10"/>
      <c r="E45" s="11"/>
      <c r="F45" s="11"/>
      <c r="G45" s="12"/>
      <c r="H45" s="9"/>
      <c r="I45" s="9"/>
      <c r="J45" s="13"/>
      <c r="K45" s="9"/>
    </row>
    <row r="46" customFormat="false" ht="16.5" hidden="false" customHeight="true" outlineLevel="0" collapsed="false">
      <c r="A46" s="9"/>
      <c r="B46" s="9"/>
      <c r="C46" s="9"/>
      <c r="D46" s="10"/>
      <c r="E46" s="21"/>
      <c r="F46" s="21"/>
      <c r="G46" s="12"/>
      <c r="H46" s="9"/>
      <c r="I46" s="9"/>
      <c r="J46" s="9"/>
      <c r="K46" s="9"/>
    </row>
    <row r="47" customFormat="false" ht="16.5" hidden="false" customHeight="true" outlineLevel="0" collapsed="false">
      <c r="A47" s="7"/>
      <c r="B47" s="7"/>
      <c r="C47" s="7"/>
      <c r="D47" s="22"/>
      <c r="E47" s="23"/>
      <c r="F47" s="23"/>
      <c r="G47" s="17"/>
      <c r="H47" s="7"/>
      <c r="I47" s="7"/>
      <c r="J47" s="7"/>
      <c r="K47" s="7"/>
    </row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/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</sheetData>
  <mergeCells count="1">
    <mergeCell ref="A3:K3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1"/>
  <cols>
    <col collapsed="false" customWidth="true" hidden="false" outlineLevel="0" max="4" min="1" style="0" width="12"/>
    <col collapsed="false" customWidth="true" hidden="false" outlineLevel="1" max="8" min="5" style="0" width="12"/>
    <col collapsed="false" customWidth="true" hidden="false" outlineLevel="0" max="9" min="9" style="0" width="12"/>
    <col collapsed="false" customWidth="true" hidden="false" outlineLevel="0" max="10" min="10" style="0" width="13.12"/>
    <col collapsed="false" customWidth="true" hidden="false" outlineLevel="1" max="11" min="11" style="0" width="12"/>
    <col collapsed="false" customWidth="true" hidden="false" outlineLevel="0" max="19" min="12" style="0" width="12"/>
  </cols>
  <sheetData>
    <row r="1" customFormat="false" ht="16.5" hidden="false" customHeight="true" outlineLevel="0" collapsed="false">
      <c r="A1" s="1" t="s">
        <v>0</v>
      </c>
      <c r="B1" s="2" t="n">
        <v>830</v>
      </c>
      <c r="C1" s="3"/>
      <c r="D1" s="4"/>
      <c r="G1" s="1"/>
      <c r="H1" s="5"/>
      <c r="I1" s="5"/>
      <c r="J1" s="5"/>
    </row>
    <row r="2" customFormat="false" ht="16.5" hidden="false" customHeight="true" outlineLevel="0" collapsed="false">
      <c r="D2" s="4"/>
    </row>
    <row r="3" customFormat="false" ht="16.5" hidden="false" customHeight="true" outlineLevel="0" collapsed="false">
      <c r="A3" s="24" t="s">
        <v>21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6.5" hidden="false" customHeight="true" outlineLevel="0" collapsed="false">
      <c r="A4" s="25"/>
      <c r="B4" s="8"/>
      <c r="C4" s="20"/>
      <c r="D4" s="8"/>
      <c r="E4" s="8"/>
      <c r="F4" s="8"/>
      <c r="G4" s="7"/>
      <c r="H4" s="1"/>
      <c r="I4" s="8"/>
      <c r="J4" s="8"/>
      <c r="K4" s="8"/>
    </row>
    <row r="5" customFormat="false" ht="16.5" hidden="false" customHeight="true" outlineLevel="0" collapsed="false">
      <c r="A5" s="25"/>
      <c r="B5" s="8" t="s">
        <v>2</v>
      </c>
      <c r="C5" s="20" t="s">
        <v>3</v>
      </c>
      <c r="D5" s="8" t="s">
        <v>4</v>
      </c>
      <c r="E5" s="8" t="s">
        <v>5</v>
      </c>
      <c r="F5" s="8" t="s">
        <v>6</v>
      </c>
      <c r="G5" s="7" t="s">
        <v>7</v>
      </c>
      <c r="H5" s="1" t="s">
        <v>8</v>
      </c>
      <c r="I5" s="8" t="s">
        <v>9</v>
      </c>
      <c r="J5" s="8" t="s">
        <v>10</v>
      </c>
      <c r="K5" s="8" t="s">
        <v>22</v>
      </c>
    </row>
    <row r="6" customFormat="false" ht="16.5" hidden="false" customHeight="true" outlineLevel="0" collapsed="false">
      <c r="A6" s="26"/>
      <c r="B6" s="27" t="s">
        <v>12</v>
      </c>
      <c r="C6" s="12" t="s">
        <v>16</v>
      </c>
      <c r="D6" s="10" t="n">
        <f aca="false">(PI()/4)*E6^2*F6</f>
        <v>18.3217683557357</v>
      </c>
      <c r="E6" s="11" t="n">
        <v>2.7</v>
      </c>
      <c r="F6" s="11" t="n">
        <v>3.2</v>
      </c>
      <c r="G6" s="12" t="n">
        <v>1</v>
      </c>
      <c r="H6" s="28" t="s">
        <v>23</v>
      </c>
      <c r="I6" s="29" t="n">
        <v>602.9</v>
      </c>
      <c r="J6" s="27" t="n">
        <v>2018</v>
      </c>
      <c r="K6" s="5"/>
    </row>
    <row r="7" customFormat="false" ht="16.5" hidden="false" customHeight="true" outlineLevel="0" collapsed="false">
      <c r="A7" s="30"/>
      <c r="B7" s="27" t="s">
        <v>12</v>
      </c>
      <c r="C7" s="12" t="s">
        <v>16</v>
      </c>
      <c r="D7" s="10" t="n">
        <f aca="false">(PI()/4)*E7^2*F7</f>
        <v>18.3217683557357</v>
      </c>
      <c r="E7" s="11" t="n">
        <v>2.7</v>
      </c>
      <c r="F7" s="11" t="n">
        <v>3.2</v>
      </c>
      <c r="G7" s="12" t="n">
        <v>2</v>
      </c>
      <c r="H7" s="28" t="s">
        <v>23</v>
      </c>
      <c r="I7" s="27" t="n">
        <v>567.5</v>
      </c>
      <c r="J7" s="27" t="n">
        <v>2017</v>
      </c>
      <c r="K7" s="5"/>
    </row>
    <row r="8" customFormat="false" ht="16.5" hidden="false" customHeight="true" outlineLevel="0" collapsed="false">
      <c r="A8" s="30"/>
      <c r="B8" s="27" t="s">
        <v>12</v>
      </c>
      <c r="C8" s="12" t="s">
        <v>16</v>
      </c>
      <c r="D8" s="10" t="n">
        <f aca="false">(PI()/4)*E8^2*F8</f>
        <v>24.7400421470196</v>
      </c>
      <c r="E8" s="11" t="n">
        <v>3</v>
      </c>
      <c r="F8" s="11" t="n">
        <v>3.5</v>
      </c>
      <c r="G8" s="12" t="n">
        <v>3</v>
      </c>
      <c r="H8" s="28" t="s">
        <v>23</v>
      </c>
      <c r="I8" s="29" t="n">
        <v>602.9</v>
      </c>
      <c r="J8" s="27" t="n">
        <v>2018</v>
      </c>
      <c r="K8" s="5"/>
    </row>
    <row r="9" customFormat="false" ht="16.5" hidden="false" customHeight="true" outlineLevel="0" collapsed="false">
      <c r="A9" s="30" t="n">
        <v>20</v>
      </c>
      <c r="B9" s="31"/>
      <c r="C9" s="32" t="s">
        <v>16</v>
      </c>
      <c r="D9" s="10" t="n">
        <f aca="false">(PI()/4)*E9^2*F9</f>
        <v>29.4524311274043</v>
      </c>
      <c r="E9" s="11" t="n">
        <v>2.5</v>
      </c>
      <c r="F9" s="11" t="n">
        <v>6</v>
      </c>
      <c r="G9" s="12" t="n">
        <v>4</v>
      </c>
      <c r="H9" s="28" t="s">
        <v>23</v>
      </c>
      <c r="I9" s="31" t="n">
        <v>567.3</v>
      </c>
      <c r="J9" s="33" t="n">
        <v>2013</v>
      </c>
      <c r="K9" s="5"/>
    </row>
    <row r="10" customFormat="false" ht="16.5" hidden="false" customHeight="true" outlineLevel="0" collapsed="false">
      <c r="A10" s="27"/>
      <c r="B10" s="27" t="s">
        <v>12</v>
      </c>
      <c r="C10" s="12" t="s">
        <v>16</v>
      </c>
      <c r="D10" s="10" t="n">
        <f aca="false">(PI()/4)*E10^2*F10</f>
        <v>38.484510006475</v>
      </c>
      <c r="E10" s="11" t="n">
        <v>3.5</v>
      </c>
      <c r="F10" s="11" t="n">
        <v>4</v>
      </c>
      <c r="G10" s="12" t="n">
        <v>5</v>
      </c>
      <c r="H10" s="28" t="s">
        <v>23</v>
      </c>
      <c r="I10" s="29" t="n">
        <v>602.9</v>
      </c>
      <c r="J10" s="27" t="n">
        <v>2018</v>
      </c>
      <c r="K10" s="5"/>
    </row>
    <row r="11" customFormat="false" ht="16.5" hidden="false" customHeight="true" outlineLevel="0" collapsed="false">
      <c r="A11" s="30" t="n">
        <v>40</v>
      </c>
      <c r="B11" s="31"/>
      <c r="C11" s="12" t="s">
        <v>16</v>
      </c>
      <c r="D11" s="10" t="n">
        <f aca="false">(PI()/4)*E11^2*F11</f>
        <v>42.4115008234622</v>
      </c>
      <c r="E11" s="11" t="n">
        <v>3</v>
      </c>
      <c r="F11" s="11" t="n">
        <v>6</v>
      </c>
      <c r="G11" s="12" t="n">
        <v>6</v>
      </c>
      <c r="H11" s="28" t="s">
        <v>23</v>
      </c>
      <c r="I11" s="31" t="n">
        <v>567.3</v>
      </c>
      <c r="J11" s="33" t="n">
        <v>2013</v>
      </c>
      <c r="K11" s="5"/>
    </row>
    <row r="12" customFormat="false" ht="16.5" hidden="false" customHeight="true" outlineLevel="0" collapsed="false">
      <c r="A12" s="26"/>
      <c r="B12" s="27" t="s">
        <v>12</v>
      </c>
      <c r="C12" s="12" t="s">
        <v>16</v>
      </c>
      <c r="D12" s="10" t="n">
        <f aca="false">(PI()/4)*E12^2*F12</f>
        <v>56.5486677646163</v>
      </c>
      <c r="E12" s="11" t="n">
        <v>4</v>
      </c>
      <c r="F12" s="11" t="n">
        <v>4.5</v>
      </c>
      <c r="G12" s="12" t="n">
        <v>7</v>
      </c>
      <c r="H12" s="28" t="s">
        <v>23</v>
      </c>
      <c r="I12" s="29" t="n">
        <v>602.9</v>
      </c>
      <c r="J12" s="27" t="n">
        <v>2018</v>
      </c>
      <c r="K12" s="5"/>
    </row>
    <row r="13" customFormat="false" ht="16.5" hidden="false" customHeight="true" outlineLevel="0" collapsed="false">
      <c r="A13" s="27"/>
      <c r="B13" s="27" t="s">
        <v>12</v>
      </c>
      <c r="C13" s="12" t="s">
        <v>16</v>
      </c>
      <c r="D13" s="10" t="n">
        <f aca="false">(PI()/4)*E13^2*F13</f>
        <v>65.1157909309556</v>
      </c>
      <c r="E13" s="11" t="n">
        <v>4.2</v>
      </c>
      <c r="F13" s="11" t="n">
        <v>4.7</v>
      </c>
      <c r="G13" s="12" t="n">
        <v>8</v>
      </c>
      <c r="H13" s="28" t="s">
        <v>23</v>
      </c>
      <c r="I13" s="29" t="n">
        <v>602.9</v>
      </c>
      <c r="J13" s="27" t="n">
        <v>2018</v>
      </c>
      <c r="K13" s="5"/>
    </row>
    <row r="14" customFormat="false" ht="16.5" hidden="false" customHeight="true" outlineLevel="0" collapsed="false">
      <c r="A14" s="30"/>
      <c r="B14" s="27" t="s">
        <v>12</v>
      </c>
      <c r="C14" s="12" t="s">
        <v>16</v>
      </c>
      <c r="D14" s="10" t="n">
        <f aca="false">(PI()/4)*E14^2*F14</f>
        <v>88.3572933822129</v>
      </c>
      <c r="E14" s="11" t="n">
        <v>5</v>
      </c>
      <c r="F14" s="11" t="n">
        <v>4.5</v>
      </c>
      <c r="G14" s="12" t="n">
        <v>9</v>
      </c>
      <c r="H14" s="28" t="s">
        <v>23</v>
      </c>
      <c r="I14" s="29" t="n">
        <v>602.9</v>
      </c>
      <c r="J14" s="27" t="n">
        <v>2018</v>
      </c>
      <c r="K14" s="5"/>
    </row>
    <row r="15" customFormat="false" ht="16.5" hidden="false" customHeight="true" outlineLevel="0" collapsed="false">
      <c r="A15" s="26"/>
      <c r="B15" s="27" t="s">
        <v>12</v>
      </c>
      <c r="C15" s="12" t="s">
        <v>16</v>
      </c>
      <c r="D15" s="10" t="n">
        <f aca="false">(PI()/4)*E15^2*F15</f>
        <v>130.67061943525</v>
      </c>
      <c r="E15" s="11" t="n">
        <v>5.5</v>
      </c>
      <c r="F15" s="11" t="n">
        <v>5.5</v>
      </c>
      <c r="G15" s="12" t="n">
        <v>10</v>
      </c>
      <c r="H15" s="28" t="s">
        <v>23</v>
      </c>
      <c r="I15" s="29" t="n">
        <v>602.9</v>
      </c>
      <c r="J15" s="27" t="n">
        <v>2018</v>
      </c>
      <c r="K15" s="5"/>
    </row>
    <row r="16" customFormat="false" ht="16.5" hidden="false" customHeight="true" outlineLevel="0" collapsed="false">
      <c r="A16" s="27"/>
      <c r="B16" s="27" t="s">
        <v>12</v>
      </c>
      <c r="C16" s="12" t="s">
        <v>16</v>
      </c>
      <c r="D16" s="10" t="n">
        <f aca="false">(PI()/4)*E16^2*F16</f>
        <v>205.296796726786</v>
      </c>
      <c r="E16" s="11" t="n">
        <v>6.2</v>
      </c>
      <c r="F16" s="11" t="n">
        <v>6.8</v>
      </c>
      <c r="G16" s="12" t="n">
        <v>11</v>
      </c>
      <c r="H16" s="28" t="s">
        <v>23</v>
      </c>
      <c r="I16" s="29" t="n">
        <v>602.9</v>
      </c>
      <c r="J16" s="27" t="n">
        <v>2018</v>
      </c>
      <c r="K16" s="5"/>
    </row>
    <row r="17" customFormat="false" ht="16.5" hidden="false" customHeight="true" outlineLevel="0" collapsed="false">
      <c r="A17" s="30" t="n">
        <v>250</v>
      </c>
      <c r="B17" s="31"/>
      <c r="C17" s="12" t="s">
        <v>16</v>
      </c>
      <c r="D17" s="10" t="n">
        <f aca="false">(PI()/4)*E17^2*F17</f>
        <v>254.469004940773</v>
      </c>
      <c r="E17" s="11" t="n">
        <v>4.5</v>
      </c>
      <c r="F17" s="11" t="n">
        <v>16</v>
      </c>
      <c r="G17" s="12" t="n">
        <v>12</v>
      </c>
      <c r="H17" s="28" t="s">
        <v>23</v>
      </c>
      <c r="I17" s="31" t="n">
        <v>567.3</v>
      </c>
      <c r="J17" s="33" t="n">
        <v>2013</v>
      </c>
      <c r="K17" s="5"/>
    </row>
    <row r="18" customFormat="false" ht="16.5" hidden="false" customHeight="true" outlineLevel="0" collapsed="false">
      <c r="A18" s="27"/>
      <c r="B18" s="27" t="s">
        <v>12</v>
      </c>
      <c r="C18" s="12" t="s">
        <v>16</v>
      </c>
      <c r="D18" s="10" t="n">
        <f aca="false">(PI()/4)*E18^2*F18</f>
        <v>288.633825048562</v>
      </c>
      <c r="E18" s="11" t="n">
        <v>7</v>
      </c>
      <c r="F18" s="11" t="n">
        <v>7.5</v>
      </c>
      <c r="G18" s="12" t="n">
        <v>13</v>
      </c>
      <c r="H18" s="28" t="s">
        <v>23</v>
      </c>
      <c r="I18" s="29" t="n">
        <v>602.9</v>
      </c>
      <c r="J18" s="27" t="n">
        <v>2018</v>
      </c>
      <c r="K18" s="5"/>
    </row>
    <row r="19" customFormat="false" ht="16.5" hidden="false" customHeight="true" outlineLevel="0" collapsed="false">
      <c r="A19" s="30"/>
      <c r="B19" s="27" t="s">
        <v>12</v>
      </c>
      <c r="C19" s="12" t="s">
        <v>16</v>
      </c>
      <c r="D19" s="10" t="n">
        <f aca="false">(PI()/4)*E19^2*F19</f>
        <v>527.72866094083</v>
      </c>
      <c r="E19" s="11" t="n">
        <v>8.5</v>
      </c>
      <c r="F19" s="11" t="n">
        <v>9.3</v>
      </c>
      <c r="G19" s="12" t="n">
        <v>14</v>
      </c>
      <c r="H19" s="28" t="s">
        <v>23</v>
      </c>
      <c r="I19" s="29" t="n">
        <v>602.9</v>
      </c>
      <c r="J19" s="27" t="n">
        <v>2018</v>
      </c>
      <c r="K19" s="5"/>
    </row>
    <row r="20" customFormat="false" ht="16.5" hidden="false" customHeight="true" outlineLevel="0" collapsed="false">
      <c r="A20" s="26"/>
      <c r="B20" s="27" t="s">
        <v>12</v>
      </c>
      <c r="C20" s="12" t="s">
        <v>16</v>
      </c>
      <c r="D20" s="10" t="n">
        <f aca="false">(PI()/4)*E20^2*F20</f>
        <v>527.787565803085</v>
      </c>
      <c r="E20" s="11" t="n">
        <v>8</v>
      </c>
      <c r="F20" s="11" t="n">
        <v>10.5</v>
      </c>
      <c r="G20" s="12" t="n">
        <v>15</v>
      </c>
      <c r="H20" s="28" t="s">
        <v>23</v>
      </c>
      <c r="I20" s="29" t="n">
        <v>602.9</v>
      </c>
      <c r="J20" s="27" t="n">
        <v>2018</v>
      </c>
      <c r="K20" s="5"/>
    </row>
    <row r="21" customFormat="false" ht="16.5" hidden="false" customHeight="true" outlineLevel="0" collapsed="false">
      <c r="A21" s="30" t="n">
        <v>650</v>
      </c>
      <c r="B21" s="31"/>
      <c r="C21" s="12" t="s">
        <v>16</v>
      </c>
      <c r="D21" s="10" t="n">
        <f aca="false">(PI()/4)*E21^2*F21</f>
        <v>662.679700366597</v>
      </c>
      <c r="E21" s="11" t="n">
        <v>7.5</v>
      </c>
      <c r="F21" s="11" t="n">
        <v>15</v>
      </c>
      <c r="G21" s="12" t="n">
        <v>16</v>
      </c>
      <c r="H21" s="28" t="s">
        <v>23</v>
      </c>
      <c r="I21" s="31" t="n">
        <v>567.3</v>
      </c>
      <c r="J21" s="33" t="n">
        <v>2013</v>
      </c>
      <c r="K21" s="5"/>
    </row>
    <row r="22" customFormat="false" ht="16.5" hidden="false" customHeight="true" outlineLevel="0" collapsed="false">
      <c r="A22" s="30"/>
      <c r="B22" s="27" t="s">
        <v>12</v>
      </c>
      <c r="C22" s="12" t="s">
        <v>16</v>
      </c>
      <c r="D22" s="10" t="n">
        <f aca="false">(PI()/4)*E22^2*F22</f>
        <v>744.262934589507</v>
      </c>
      <c r="E22" s="11" t="n">
        <v>9.5</v>
      </c>
      <c r="F22" s="11" t="n">
        <v>10.5</v>
      </c>
      <c r="G22" s="12" t="n">
        <v>17</v>
      </c>
      <c r="H22" s="28" t="s">
        <v>23</v>
      </c>
      <c r="I22" s="29" t="n">
        <v>602.9</v>
      </c>
      <c r="J22" s="27" t="n">
        <v>2018</v>
      </c>
      <c r="K22" s="5"/>
    </row>
    <row r="23" customFormat="false" ht="16.5" hidden="false" customHeight="true" outlineLevel="0" collapsed="false">
      <c r="A23" s="30"/>
      <c r="B23" s="27" t="s">
        <v>12</v>
      </c>
      <c r="C23" s="12" t="s">
        <v>16</v>
      </c>
      <c r="D23" s="10" t="n">
        <f aca="false">(PI()/4)*E23^2*F23</f>
        <v>952.491622660255</v>
      </c>
      <c r="E23" s="11" t="n">
        <v>10.5</v>
      </c>
      <c r="F23" s="11" t="n">
        <v>11</v>
      </c>
      <c r="G23" s="12" t="n">
        <v>18</v>
      </c>
      <c r="H23" s="28" t="s">
        <v>23</v>
      </c>
      <c r="I23" s="29" t="n">
        <v>602.9</v>
      </c>
      <c r="J23" s="27" t="n">
        <v>2018</v>
      </c>
      <c r="K23" s="5"/>
    </row>
    <row r="24" customFormat="false" ht="16.5" hidden="false" customHeight="true" outlineLevel="0" collapsed="false">
      <c r="A24" s="30" t="n">
        <v>1500</v>
      </c>
      <c r="B24" s="31"/>
      <c r="C24" s="12" t="s">
        <v>16</v>
      </c>
      <c r="D24" s="10" t="n">
        <f aca="false">(PI()/4)*E24^2*F24</f>
        <v>1520.53084433746</v>
      </c>
      <c r="E24" s="11" t="n">
        <v>11</v>
      </c>
      <c r="F24" s="11" t="n">
        <v>16</v>
      </c>
      <c r="G24" s="12" t="n">
        <v>19</v>
      </c>
      <c r="H24" s="28" t="s">
        <v>23</v>
      </c>
      <c r="I24" s="31" t="n">
        <v>567.3</v>
      </c>
      <c r="J24" s="33" t="n">
        <v>2013</v>
      </c>
      <c r="K24" s="5"/>
    </row>
    <row r="25" customFormat="false" ht="16.5" hidden="false" customHeight="true" outlineLevel="0" collapsed="false">
      <c r="A25" s="30" t="n">
        <v>4000</v>
      </c>
      <c r="B25" s="31" t="s">
        <v>24</v>
      </c>
      <c r="C25" s="12" t="s">
        <v>16</v>
      </c>
      <c r="D25" s="10" t="n">
        <f aca="false">(PI()/4)*E25^2*F25</f>
        <v>4241.15008234622</v>
      </c>
      <c r="E25" s="11" t="n">
        <v>20</v>
      </c>
      <c r="F25" s="11" t="n">
        <v>13.5</v>
      </c>
      <c r="G25" s="12" t="n">
        <v>20</v>
      </c>
      <c r="H25" s="28" t="s">
        <v>23</v>
      </c>
      <c r="I25" s="31" t="n">
        <v>567.3</v>
      </c>
      <c r="J25" s="33" t="n">
        <v>2013</v>
      </c>
      <c r="K25" s="5"/>
    </row>
    <row r="26" customFormat="false" ht="16.5" hidden="false" customHeight="true" outlineLevel="0" collapsed="false">
      <c r="A26" s="30" t="n">
        <v>6000</v>
      </c>
      <c r="B26" s="31" t="s">
        <v>24</v>
      </c>
      <c r="C26" s="12" t="s">
        <v>16</v>
      </c>
      <c r="D26" s="10" t="n">
        <f aca="false">(PI()/4)*E26^2*F26</f>
        <v>6364.3758423208</v>
      </c>
      <c r="E26" s="11" t="n">
        <v>24.5</v>
      </c>
      <c r="F26" s="11" t="n">
        <v>13.5</v>
      </c>
      <c r="G26" s="12" t="n">
        <v>21</v>
      </c>
      <c r="H26" s="28" t="s">
        <v>23</v>
      </c>
      <c r="I26" s="31" t="n">
        <v>567.3</v>
      </c>
      <c r="J26" s="33" t="n">
        <v>2013</v>
      </c>
      <c r="K26" s="5"/>
    </row>
    <row r="27" customFormat="false" ht="16.5" hidden="false" customHeight="true" outlineLevel="0" collapsed="false">
      <c r="A27" s="30" t="n">
        <v>20</v>
      </c>
      <c r="B27" s="27" t="s">
        <v>25</v>
      </c>
      <c r="C27" s="12" t="s">
        <v>14</v>
      </c>
      <c r="D27" s="10" t="n">
        <f aca="false">(PI()/4)*E27^2*F27</f>
        <v>20.3198212834188</v>
      </c>
      <c r="E27" s="11" t="n">
        <v>2.8</v>
      </c>
      <c r="F27" s="11" t="n">
        <v>3.3</v>
      </c>
      <c r="G27" s="12" t="n">
        <v>22</v>
      </c>
      <c r="H27" s="28" t="s">
        <v>26</v>
      </c>
      <c r="I27" s="27" t="n">
        <v>569</v>
      </c>
      <c r="J27" s="34" t="n">
        <v>41306</v>
      </c>
      <c r="K27" s="5"/>
    </row>
    <row r="28" customFormat="false" ht="16.5" hidden="false" customHeight="true" outlineLevel="0" collapsed="false">
      <c r="A28" s="30" t="n">
        <v>60</v>
      </c>
      <c r="B28" s="27" t="s">
        <v>25</v>
      </c>
      <c r="C28" s="12" t="s">
        <v>14</v>
      </c>
      <c r="D28" s="10" t="n">
        <f aca="false">(PI()/4)*E28^2*F28</f>
        <v>60.318578948924</v>
      </c>
      <c r="E28" s="11" t="n">
        <v>4</v>
      </c>
      <c r="F28" s="11" t="n">
        <v>4.8</v>
      </c>
      <c r="G28" s="12" t="n">
        <v>23</v>
      </c>
      <c r="H28" s="28" t="s">
        <v>26</v>
      </c>
      <c r="I28" s="27" t="n">
        <v>569</v>
      </c>
      <c r="J28" s="34" t="n">
        <v>41306</v>
      </c>
      <c r="K28" s="5"/>
    </row>
    <row r="29" customFormat="false" ht="16.5" hidden="false" customHeight="true" outlineLevel="0" collapsed="false">
      <c r="A29" s="30"/>
      <c r="B29" s="27" t="s">
        <v>27</v>
      </c>
      <c r="C29" s="12" t="s">
        <v>13</v>
      </c>
      <c r="D29" s="10" t="n">
        <f aca="false">(PI()/4)*E29^2*F29</f>
        <v>44.9730921386914</v>
      </c>
      <c r="E29" s="11" t="n">
        <v>3.624</v>
      </c>
      <c r="F29" s="11" t="n">
        <v>4.36</v>
      </c>
      <c r="G29" s="12" t="n">
        <v>24</v>
      </c>
      <c r="H29" s="28" t="s">
        <v>26</v>
      </c>
      <c r="I29" s="27" t="n">
        <v>567.5</v>
      </c>
      <c r="J29" s="34" t="n">
        <v>41557</v>
      </c>
      <c r="K29" s="5"/>
    </row>
    <row r="30" customFormat="false" ht="16.5" hidden="false" customHeight="true" outlineLevel="0" collapsed="false">
      <c r="A30" s="30"/>
      <c r="B30" s="27" t="s">
        <v>27</v>
      </c>
      <c r="C30" s="12" t="s">
        <v>13</v>
      </c>
      <c r="D30" s="10" t="n">
        <f aca="false">(PI()/4)*E30^2*F30</f>
        <v>45.3856893142758</v>
      </c>
      <c r="E30" s="11" t="n">
        <v>3.624</v>
      </c>
      <c r="F30" s="11" t="n">
        <v>4.4</v>
      </c>
      <c r="G30" s="12" t="n">
        <v>25</v>
      </c>
      <c r="H30" s="28" t="s">
        <v>26</v>
      </c>
      <c r="I30" s="27" t="n">
        <v>567.5</v>
      </c>
      <c r="J30" s="34" t="n">
        <v>41557</v>
      </c>
      <c r="K30" s="5"/>
    </row>
    <row r="31" customFormat="false" ht="16.5" hidden="false" customHeight="true" outlineLevel="0" collapsed="false">
      <c r="A31" s="30"/>
      <c r="B31" s="27" t="s">
        <v>27</v>
      </c>
      <c r="C31" s="12" t="s">
        <v>13</v>
      </c>
      <c r="D31" s="10" t="n">
        <f aca="false">(PI()/4)*E31^2*F31</f>
        <v>44.9730921386914</v>
      </c>
      <c r="E31" s="11" t="n">
        <v>3.624</v>
      </c>
      <c r="F31" s="11" t="n">
        <v>4.36</v>
      </c>
      <c r="G31" s="12" t="n">
        <v>26</v>
      </c>
      <c r="H31" s="28" t="s">
        <v>26</v>
      </c>
      <c r="I31" s="27" t="n">
        <v>567.5</v>
      </c>
      <c r="J31" s="34" t="n">
        <v>41557</v>
      </c>
      <c r="K31" s="5"/>
    </row>
    <row r="32" customFormat="false" ht="16.5" hidden="false" customHeight="true" outlineLevel="0" collapsed="false">
      <c r="A32" s="30"/>
      <c r="B32" s="27" t="s">
        <v>27</v>
      </c>
      <c r="C32" s="12" t="s">
        <v>13</v>
      </c>
      <c r="D32" s="10" t="n">
        <f aca="false">(PI()/4)*E32^2*F32</f>
        <v>2.09399716732374</v>
      </c>
      <c r="E32" s="11" t="n">
        <v>1.38</v>
      </c>
      <c r="F32" s="11" t="n">
        <v>1.4</v>
      </c>
      <c r="G32" s="12" t="n">
        <v>27</v>
      </c>
      <c r="H32" s="28" t="s">
        <v>26</v>
      </c>
      <c r="I32" s="27" t="n">
        <v>567.5</v>
      </c>
      <c r="J32" s="34" t="n">
        <v>41561</v>
      </c>
      <c r="K32" s="5"/>
    </row>
    <row r="33" customFormat="false" ht="16.5" hidden="false" customHeight="true" outlineLevel="0" collapsed="false">
      <c r="A33" s="27"/>
      <c r="B33" s="27" t="s">
        <v>27</v>
      </c>
      <c r="C33" s="12" t="s">
        <v>13</v>
      </c>
      <c r="D33" s="10" t="n">
        <f aca="false">(PI()/4)*E33^2*F33</f>
        <v>20.645255921161</v>
      </c>
      <c r="E33" s="11" t="n">
        <v>2.975</v>
      </c>
      <c r="F33" s="11" t="n">
        <v>2.97</v>
      </c>
      <c r="G33" s="12" t="n">
        <v>28</v>
      </c>
      <c r="H33" s="28" t="s">
        <v>26</v>
      </c>
      <c r="I33" s="27" t="n">
        <v>567.5</v>
      </c>
      <c r="J33" s="34" t="n">
        <v>41561</v>
      </c>
      <c r="K33" s="5"/>
    </row>
    <row r="34" customFormat="false" ht="16.5" hidden="false" customHeight="true" outlineLevel="0" collapsed="false">
      <c r="A34" s="30"/>
      <c r="B34" s="27" t="s">
        <v>27</v>
      </c>
      <c r="C34" s="12" t="s">
        <v>13</v>
      </c>
      <c r="D34" s="10" t="n">
        <f aca="false">(PI()/4)*E34^2*F34</f>
        <v>20.645255921161</v>
      </c>
      <c r="E34" s="11" t="n">
        <v>2.975</v>
      </c>
      <c r="F34" s="11" t="n">
        <v>2.97</v>
      </c>
      <c r="G34" s="12" t="n">
        <v>29</v>
      </c>
      <c r="H34" s="28" t="s">
        <v>26</v>
      </c>
      <c r="I34" s="27" t="n">
        <v>567.5</v>
      </c>
      <c r="J34" s="34" t="n">
        <v>41561</v>
      </c>
      <c r="K34" s="5"/>
    </row>
    <row r="35" customFormat="false" ht="16.5" hidden="false" customHeight="true" outlineLevel="0" collapsed="false">
      <c r="A35" s="30"/>
      <c r="B35" s="27"/>
      <c r="C35" s="12"/>
      <c r="D35" s="10"/>
      <c r="E35" s="11"/>
      <c r="F35" s="11"/>
      <c r="G35" s="12"/>
      <c r="H35" s="28"/>
      <c r="I35" s="27"/>
      <c r="J35" s="34"/>
      <c r="K35" s="5"/>
    </row>
    <row r="36" customFormat="false" ht="16.5" hidden="false" customHeight="true" outlineLevel="0" collapsed="false">
      <c r="A36" s="30"/>
      <c r="B36" s="27"/>
      <c r="C36" s="12"/>
      <c r="D36" s="10"/>
      <c r="E36" s="11"/>
      <c r="F36" s="11"/>
      <c r="G36" s="12"/>
      <c r="H36" s="28"/>
      <c r="I36" s="27"/>
      <c r="J36" s="34"/>
      <c r="K36" s="5"/>
    </row>
    <row r="37" customFormat="false" ht="16.5" hidden="false" customHeight="true" outlineLevel="0" collapsed="false">
      <c r="A37" s="16"/>
      <c r="B37" s="17"/>
      <c r="C37" s="18"/>
      <c r="D37" s="18"/>
      <c r="E37" s="5"/>
      <c r="F37" s="5"/>
      <c r="G37" s="35"/>
      <c r="H37" s="5"/>
      <c r="I37" s="5"/>
      <c r="J37" s="5"/>
    </row>
    <row r="38" customFormat="false" ht="16.5" hidden="false" customHeight="true" outlineLevel="0" collapsed="false">
      <c r="A38" s="16"/>
      <c r="B38" s="17"/>
      <c r="C38" s="18"/>
      <c r="D38" s="18"/>
      <c r="E38" s="5"/>
      <c r="F38" s="5"/>
      <c r="G38" s="35"/>
      <c r="H38" s="5"/>
      <c r="I38" s="5"/>
      <c r="J38" s="5"/>
    </row>
    <row r="39" customFormat="false" ht="16.5" hidden="false" customHeight="true" outlineLevel="0" collapsed="false">
      <c r="A39" s="5"/>
      <c r="B39" s="5"/>
      <c r="C39" s="5"/>
      <c r="D39" s="20"/>
      <c r="E39" s="5"/>
      <c r="F39" s="5"/>
      <c r="G39" s="17"/>
      <c r="H39" s="5"/>
      <c r="I39" s="5"/>
      <c r="J39" s="5"/>
    </row>
    <row r="40" customFormat="false" ht="16.5" hidden="false" customHeight="true" outlineLevel="0" collapsed="false">
      <c r="A40" s="5" t="s">
        <v>28</v>
      </c>
      <c r="B40" s="5" t="s">
        <v>2</v>
      </c>
      <c r="C40" s="5" t="s">
        <v>3</v>
      </c>
      <c r="D40" s="8" t="s">
        <v>4</v>
      </c>
      <c r="E40" s="5" t="s">
        <v>5</v>
      </c>
      <c r="F40" s="5" t="s">
        <v>6</v>
      </c>
      <c r="G40" s="7" t="s">
        <v>7</v>
      </c>
      <c r="H40" s="5" t="s">
        <v>8</v>
      </c>
      <c r="I40" s="5" t="s">
        <v>9</v>
      </c>
      <c r="J40" s="5" t="s">
        <v>10</v>
      </c>
    </row>
    <row r="41" customFormat="false" ht="16.5" hidden="false" customHeight="true" outlineLevel="0" collapsed="false">
      <c r="A41" s="30"/>
      <c r="B41" s="27" t="s">
        <v>24</v>
      </c>
      <c r="C41" s="12" t="s">
        <v>29</v>
      </c>
      <c r="D41" s="10" t="n">
        <v>56.5486677646163</v>
      </c>
      <c r="E41" s="11" t="n">
        <v>4</v>
      </c>
      <c r="F41" s="11" t="n">
        <v>4.5</v>
      </c>
      <c r="G41" s="12" t="n">
        <v>1</v>
      </c>
      <c r="H41" s="28" t="s">
        <v>23</v>
      </c>
      <c r="I41" s="27" t="n">
        <v>567.5</v>
      </c>
      <c r="J41" s="27" t="n">
        <v>2017</v>
      </c>
    </row>
    <row r="42" customFormat="false" ht="16.5" hidden="false" customHeight="true" outlineLevel="0" collapsed="false">
      <c r="A42" s="26"/>
      <c r="B42" s="27" t="s">
        <v>24</v>
      </c>
      <c r="C42" s="12" t="s">
        <v>29</v>
      </c>
      <c r="D42" s="10" t="n">
        <v>114.397954887819</v>
      </c>
      <c r="E42" s="11" t="n">
        <v>5.1</v>
      </c>
      <c r="F42" s="11" t="n">
        <v>5.6</v>
      </c>
      <c r="G42" s="12" t="n">
        <v>2</v>
      </c>
      <c r="H42" s="28" t="s">
        <v>23</v>
      </c>
      <c r="I42" s="27" t="n">
        <v>602.9</v>
      </c>
      <c r="J42" s="27" t="n">
        <v>2018</v>
      </c>
    </row>
    <row r="43" customFormat="false" ht="16.5" hidden="false" customHeight="true" outlineLevel="0" collapsed="false">
      <c r="A43" s="30"/>
      <c r="B43" s="27" t="s">
        <v>24</v>
      </c>
      <c r="C43" s="12" t="s">
        <v>29</v>
      </c>
      <c r="D43" s="10" t="n">
        <v>114.397954887819</v>
      </c>
      <c r="E43" s="11" t="n">
        <v>5.1</v>
      </c>
      <c r="F43" s="11" t="n">
        <v>5.6</v>
      </c>
      <c r="G43" s="12" t="n">
        <v>3</v>
      </c>
      <c r="H43" s="28" t="s">
        <v>23</v>
      </c>
      <c r="I43" s="27" t="n">
        <v>567.5</v>
      </c>
      <c r="J43" s="27" t="n">
        <v>2017</v>
      </c>
    </row>
    <row r="44" customFormat="false" ht="16.5" hidden="false" customHeight="true" outlineLevel="0" collapsed="false">
      <c r="A44" s="30"/>
      <c r="B44" s="27" t="s">
        <v>24</v>
      </c>
      <c r="C44" s="12" t="s">
        <v>29</v>
      </c>
      <c r="D44" s="10" t="n">
        <v>174.974144434337</v>
      </c>
      <c r="E44" s="11" t="n">
        <v>5.9</v>
      </c>
      <c r="F44" s="11" t="n">
        <v>6.4</v>
      </c>
      <c r="G44" s="12" t="n">
        <v>4</v>
      </c>
      <c r="H44" s="28" t="s">
        <v>23</v>
      </c>
      <c r="I44" s="27" t="n">
        <v>602.9</v>
      </c>
      <c r="J44" s="27" t="n">
        <v>2018</v>
      </c>
    </row>
    <row r="45" customFormat="false" ht="16.5" hidden="false" customHeight="true" outlineLevel="0" collapsed="false">
      <c r="A45" s="30"/>
      <c r="B45" s="27" t="s">
        <v>24</v>
      </c>
      <c r="C45" s="12" t="s">
        <v>29</v>
      </c>
      <c r="D45" s="10" t="n">
        <v>174.974144434337</v>
      </c>
      <c r="E45" s="11" t="n">
        <v>5.9</v>
      </c>
      <c r="F45" s="11" t="n">
        <v>6.4</v>
      </c>
      <c r="G45" s="12" t="n">
        <v>5</v>
      </c>
      <c r="H45" s="28" t="s">
        <v>23</v>
      </c>
      <c r="I45" s="27" t="n">
        <v>567.5</v>
      </c>
      <c r="J45" s="27" t="n">
        <v>2017</v>
      </c>
    </row>
    <row r="46" customFormat="false" ht="16.5" hidden="false" customHeight="true" outlineLevel="0" collapsed="false">
      <c r="A46" s="30"/>
      <c r="B46" s="27" t="s">
        <v>27</v>
      </c>
      <c r="C46" s="12" t="s">
        <v>29</v>
      </c>
      <c r="D46" s="10" t="n">
        <v>174.974144434337</v>
      </c>
      <c r="E46" s="11" t="n">
        <v>5.9</v>
      </c>
      <c r="F46" s="11" t="n">
        <v>6.4</v>
      </c>
      <c r="G46" s="12" t="n">
        <v>6</v>
      </c>
      <c r="H46" s="28" t="s">
        <v>23</v>
      </c>
      <c r="I46" s="27" t="n">
        <v>567.5</v>
      </c>
      <c r="J46" s="27" t="n">
        <v>2017</v>
      </c>
    </row>
    <row r="47" customFormat="false" ht="16.5" hidden="false" customHeight="true" outlineLevel="0" collapsed="false">
      <c r="A47" s="27"/>
      <c r="B47" s="27" t="s">
        <v>27</v>
      </c>
      <c r="C47" s="12" t="s">
        <v>29</v>
      </c>
      <c r="D47" s="10" t="n">
        <v>301.291301849876</v>
      </c>
      <c r="E47" s="11" t="n">
        <v>7.2</v>
      </c>
      <c r="F47" s="11" t="n">
        <v>7.4</v>
      </c>
      <c r="G47" s="12" t="n">
        <v>7</v>
      </c>
      <c r="H47" s="28" t="s">
        <v>23</v>
      </c>
      <c r="I47" s="27" t="n">
        <v>602.9</v>
      </c>
      <c r="J47" s="27" t="n">
        <v>2018</v>
      </c>
    </row>
    <row r="48" customFormat="false" ht="16.5" hidden="false" customHeight="true" outlineLevel="0" collapsed="false">
      <c r="A48" s="30"/>
      <c r="B48" s="27" t="s">
        <v>27</v>
      </c>
      <c r="C48" s="12" t="s">
        <v>29</v>
      </c>
      <c r="D48" s="10" t="n">
        <v>372.530056862678</v>
      </c>
      <c r="E48" s="11" t="n">
        <v>7.7</v>
      </c>
      <c r="F48" s="11" t="n">
        <v>8</v>
      </c>
      <c r="G48" s="12" t="n">
        <v>8</v>
      </c>
      <c r="H48" s="28" t="s">
        <v>23</v>
      </c>
      <c r="I48" s="27" t="n">
        <v>602.9</v>
      </c>
      <c r="J48" s="27" t="n">
        <v>2018</v>
      </c>
    </row>
    <row r="49" customFormat="false" ht="16.5" hidden="false" customHeight="true" outlineLevel="0" collapsed="false">
      <c r="A49" s="30"/>
      <c r="B49" s="27" t="s">
        <v>27</v>
      </c>
      <c r="C49" s="12" t="s">
        <v>14</v>
      </c>
      <c r="D49" s="10" t="n">
        <f aca="false">PI()*3.1*3.1*F49</f>
        <v>211.3349378</v>
      </c>
      <c r="E49" s="11" t="n">
        <v>6.2</v>
      </c>
      <c r="F49" s="11" t="n">
        <v>7</v>
      </c>
      <c r="G49" s="12" t="n">
        <v>9</v>
      </c>
      <c r="H49" s="28" t="s">
        <v>23</v>
      </c>
      <c r="I49" s="27" t="n">
        <v>569.4</v>
      </c>
      <c r="J49" s="34" t="n">
        <v>41366</v>
      </c>
    </row>
    <row r="50" customFormat="false" ht="16.5" hidden="false" customHeight="true" outlineLevel="0" collapsed="false">
      <c r="A50" s="5"/>
      <c r="B50" s="5"/>
      <c r="C50" s="5"/>
      <c r="D50" s="20"/>
      <c r="E50" s="5"/>
      <c r="F50" s="5"/>
      <c r="G50" s="17"/>
      <c r="H50" s="5"/>
      <c r="I50" s="5"/>
      <c r="J50" s="5"/>
    </row>
    <row r="51" customFormat="false" ht="16.5" hidden="false" customHeight="true" outlineLevel="0" collapsed="false">
      <c r="A51" s="5"/>
      <c r="B51" s="5"/>
      <c r="C51" s="5"/>
      <c r="D51" s="20"/>
      <c r="E51" s="5"/>
      <c r="F51" s="5"/>
      <c r="G51" s="17"/>
      <c r="H51" s="5"/>
      <c r="I51" s="5"/>
      <c r="J51" s="5"/>
    </row>
    <row r="52" customFormat="false" ht="16.5" hidden="false" customHeight="true" outlineLevel="0" collapsed="false">
      <c r="A52" s="5"/>
      <c r="B52" s="5"/>
      <c r="C52" s="5"/>
      <c r="D52" s="20"/>
      <c r="E52" s="5"/>
      <c r="F52" s="5"/>
      <c r="G52" s="17"/>
      <c r="H52" s="5"/>
      <c r="I52" s="5"/>
      <c r="J52" s="5"/>
    </row>
    <row r="53" customFormat="false" ht="16.5" hidden="false" customHeight="true" outlineLevel="0" collapsed="false">
      <c r="A53" s="5"/>
      <c r="B53" s="5"/>
      <c r="C53" s="5"/>
      <c r="D53" s="20"/>
      <c r="E53" s="5"/>
      <c r="F53" s="5"/>
      <c r="G53" s="17"/>
      <c r="H53" s="5"/>
      <c r="I53" s="5"/>
      <c r="J53" s="5"/>
    </row>
    <row r="54" customFormat="false" ht="16.5" hidden="false" customHeight="true" outlineLevel="0" collapsed="false">
      <c r="A54" s="5"/>
      <c r="B54" s="5"/>
      <c r="C54" s="5"/>
      <c r="D54" s="20"/>
      <c r="E54" s="5"/>
      <c r="F54" s="5"/>
      <c r="G54" s="17"/>
      <c r="H54" s="5"/>
      <c r="I54" s="5"/>
      <c r="J54" s="5"/>
    </row>
    <row r="55" customFormat="false" ht="16.5" hidden="false" customHeight="true" outlineLevel="0" collapsed="false">
      <c r="A55" s="5"/>
      <c r="B55" s="5"/>
      <c r="C55" s="5"/>
      <c r="D55" s="20"/>
      <c r="E55" s="5"/>
      <c r="F55" s="5"/>
      <c r="G55" s="17"/>
      <c r="H55" s="5"/>
      <c r="I55" s="5"/>
      <c r="J55" s="5"/>
    </row>
    <row r="56" customFormat="false" ht="16.5" hidden="false" customHeight="true" outlineLevel="0" collapsed="false">
      <c r="A56" s="5"/>
      <c r="B56" s="5"/>
      <c r="C56" s="5"/>
      <c r="D56" s="20"/>
      <c r="E56" s="5"/>
      <c r="F56" s="5"/>
      <c r="G56" s="17"/>
      <c r="H56" s="5"/>
      <c r="I56" s="5"/>
      <c r="J56" s="5"/>
    </row>
    <row r="57" customFormat="false" ht="16.5" hidden="false" customHeight="true" outlineLevel="0" collapsed="false">
      <c r="A57" s="5"/>
      <c r="B57" s="5"/>
      <c r="C57" s="5"/>
      <c r="D57" s="20"/>
      <c r="E57" s="5"/>
      <c r="F57" s="5"/>
      <c r="G57" s="17"/>
      <c r="H57" s="5"/>
      <c r="I57" s="5"/>
      <c r="J57" s="5"/>
    </row>
    <row r="58" customFormat="false" ht="16.5" hidden="false" customHeight="true" outlineLevel="0" collapsed="false">
      <c r="A58" s="5"/>
      <c r="B58" s="5"/>
      <c r="C58" s="5"/>
      <c r="D58" s="20"/>
      <c r="E58" s="5"/>
      <c r="F58" s="5"/>
      <c r="G58" s="17"/>
      <c r="H58" s="5"/>
      <c r="I58" s="5"/>
      <c r="J58" s="5"/>
    </row>
    <row r="59" customFormat="false" ht="16.5" hidden="false" customHeight="true" outlineLevel="0" collapsed="false">
      <c r="A59" s="5"/>
      <c r="B59" s="5"/>
      <c r="C59" s="5"/>
      <c r="D59" s="20"/>
      <c r="E59" s="5"/>
      <c r="F59" s="5"/>
      <c r="G59" s="17"/>
      <c r="H59" s="5"/>
      <c r="I59" s="5"/>
      <c r="J59" s="5"/>
    </row>
    <row r="60" customFormat="false" ht="16.5" hidden="false" customHeight="true" outlineLevel="0" collapsed="false">
      <c r="A60" s="5"/>
      <c r="B60" s="5"/>
      <c r="C60" s="5"/>
      <c r="D60" s="20"/>
      <c r="E60" s="5"/>
      <c r="F60" s="5"/>
      <c r="G60" s="17"/>
      <c r="H60" s="5"/>
      <c r="I60" s="5"/>
      <c r="J60" s="5"/>
    </row>
    <row r="61" customFormat="false" ht="16.5" hidden="false" customHeight="true" outlineLevel="0" collapsed="false">
      <c r="A61" s="5"/>
      <c r="B61" s="5"/>
      <c r="C61" s="5"/>
      <c r="D61" s="20"/>
      <c r="E61" s="5"/>
      <c r="F61" s="5"/>
      <c r="G61" s="17"/>
      <c r="H61" s="5"/>
      <c r="I61" s="5"/>
      <c r="J61" s="5"/>
    </row>
    <row r="62" customFormat="false" ht="16.5" hidden="false" customHeight="true" outlineLevel="0" collapsed="false">
      <c r="A62" s="5"/>
      <c r="B62" s="5"/>
      <c r="C62" s="5"/>
      <c r="D62" s="20"/>
      <c r="E62" s="5"/>
      <c r="F62" s="5"/>
      <c r="G62" s="17"/>
      <c r="H62" s="5"/>
      <c r="I62" s="5"/>
      <c r="J62" s="5"/>
    </row>
    <row r="63" customFormat="false" ht="16.5" hidden="false" customHeight="true" outlineLevel="0" collapsed="false">
      <c r="A63" s="5"/>
      <c r="B63" s="5"/>
      <c r="C63" s="5"/>
      <c r="D63" s="20"/>
      <c r="E63" s="5"/>
      <c r="F63" s="5"/>
      <c r="G63" s="17"/>
      <c r="H63" s="5"/>
      <c r="I63" s="5"/>
      <c r="J63" s="5"/>
    </row>
    <row r="64" customFormat="false" ht="16.5" hidden="false" customHeight="true" outlineLevel="0" collapsed="false">
      <c r="A64" s="5"/>
      <c r="B64" s="5"/>
      <c r="C64" s="5"/>
      <c r="D64" s="20"/>
      <c r="E64" s="5"/>
      <c r="F64" s="5"/>
      <c r="G64" s="17"/>
      <c r="H64" s="5"/>
      <c r="I64" s="5"/>
      <c r="J64" s="5"/>
    </row>
    <row r="65" customFormat="false" ht="16.5" hidden="false" customHeight="true" outlineLevel="0" collapsed="false">
      <c r="A65" s="5"/>
      <c r="B65" s="5"/>
      <c r="C65" s="5"/>
      <c r="D65" s="20"/>
      <c r="E65" s="5"/>
      <c r="F65" s="5"/>
      <c r="G65" s="17"/>
      <c r="H65" s="5"/>
      <c r="I65" s="5"/>
      <c r="J65" s="5"/>
    </row>
    <row r="66" customFormat="false" ht="16.5" hidden="false" customHeight="true" outlineLevel="0" collapsed="false">
      <c r="A66" s="5"/>
      <c r="B66" s="5"/>
      <c r="C66" s="5"/>
      <c r="D66" s="20"/>
      <c r="E66" s="5"/>
      <c r="F66" s="5"/>
      <c r="G66" s="17"/>
      <c r="H66" s="5"/>
      <c r="I66" s="5"/>
      <c r="J66" s="5"/>
    </row>
    <row r="67" customFormat="false" ht="16.5" hidden="false" customHeight="true" outlineLevel="0" collapsed="false">
      <c r="A67" s="5"/>
      <c r="B67" s="5"/>
      <c r="C67" s="5"/>
      <c r="D67" s="20"/>
      <c r="E67" s="5"/>
      <c r="F67" s="5"/>
      <c r="G67" s="17"/>
      <c r="H67" s="5"/>
      <c r="I67" s="5"/>
      <c r="J67" s="5"/>
    </row>
    <row r="68" customFormat="false" ht="16.5" hidden="false" customHeight="true" outlineLevel="0" collapsed="false">
      <c r="A68" s="5"/>
      <c r="B68" s="5"/>
      <c r="C68" s="5"/>
      <c r="D68" s="20"/>
      <c r="E68" s="5"/>
      <c r="F68" s="5"/>
      <c r="G68" s="17"/>
      <c r="H68" s="5"/>
      <c r="I68" s="5"/>
      <c r="J68" s="5"/>
    </row>
    <row r="69" customFormat="false" ht="16.5" hidden="false" customHeight="true" outlineLevel="0" collapsed="false">
      <c r="A69" s="5"/>
      <c r="B69" s="5"/>
      <c r="C69" s="5"/>
      <c r="D69" s="20"/>
      <c r="E69" s="5"/>
      <c r="F69" s="5"/>
      <c r="G69" s="17"/>
      <c r="H69" s="5"/>
      <c r="I69" s="5"/>
      <c r="J69" s="5"/>
    </row>
    <row r="70" customFormat="false" ht="16.5" hidden="false" customHeight="true" outlineLevel="0" collapsed="false">
      <c r="A70" s="5"/>
      <c r="B70" s="5"/>
      <c r="C70" s="5"/>
      <c r="D70" s="20"/>
      <c r="E70" s="5"/>
      <c r="F70" s="5"/>
      <c r="G70" s="17"/>
      <c r="H70" s="5"/>
      <c r="I70" s="5"/>
      <c r="J70" s="5"/>
    </row>
    <row r="71" customFormat="false" ht="16.5" hidden="false" customHeight="true" outlineLevel="0" collapsed="false">
      <c r="A71" s="5"/>
      <c r="B71" s="5"/>
      <c r="C71" s="5"/>
      <c r="D71" s="20"/>
      <c r="E71" s="5"/>
      <c r="F71" s="5"/>
      <c r="G71" s="17"/>
      <c r="H71" s="5"/>
      <c r="I71" s="5"/>
      <c r="J71" s="5"/>
    </row>
    <row r="72" customFormat="false" ht="16.5" hidden="false" customHeight="true" outlineLevel="0" collapsed="false">
      <c r="A72" s="5"/>
      <c r="B72" s="5"/>
      <c r="C72" s="5"/>
      <c r="D72" s="20"/>
      <c r="E72" s="5"/>
      <c r="F72" s="5"/>
      <c r="G72" s="17"/>
      <c r="H72" s="5"/>
      <c r="I72" s="5"/>
      <c r="J72" s="5"/>
    </row>
    <row r="73" customFormat="false" ht="16.5" hidden="false" customHeight="true" outlineLevel="0" collapsed="false">
      <c r="A73" s="5"/>
      <c r="B73" s="5"/>
      <c r="C73" s="5"/>
      <c r="D73" s="20"/>
      <c r="E73" s="5"/>
      <c r="F73" s="5"/>
      <c r="G73" s="17"/>
      <c r="H73" s="5"/>
      <c r="I73" s="5"/>
      <c r="J73" s="5"/>
    </row>
    <row r="74" customFormat="false" ht="16.5" hidden="false" customHeight="true" outlineLevel="0" collapsed="false">
      <c r="A74" s="5"/>
      <c r="B74" s="5"/>
      <c r="C74" s="5"/>
      <c r="D74" s="20"/>
      <c r="E74" s="5"/>
      <c r="F74" s="5"/>
      <c r="G74" s="17"/>
      <c r="H74" s="5"/>
      <c r="I74" s="5"/>
      <c r="J74" s="5"/>
    </row>
    <row r="75" customFormat="false" ht="16.5" hidden="false" customHeight="true" outlineLevel="0" collapsed="false">
      <c r="A75" s="5"/>
      <c r="B75" s="5"/>
      <c r="C75" s="5"/>
      <c r="D75" s="20"/>
      <c r="E75" s="5"/>
      <c r="F75" s="5"/>
      <c r="G75" s="17"/>
      <c r="H75" s="5"/>
      <c r="I75" s="5"/>
      <c r="J75" s="5"/>
    </row>
    <row r="76" customFormat="false" ht="16.5" hidden="false" customHeight="true" outlineLevel="0" collapsed="false">
      <c r="A76" s="5"/>
      <c r="B76" s="5"/>
      <c r="C76" s="5"/>
      <c r="D76" s="20"/>
      <c r="E76" s="5"/>
      <c r="F76" s="5"/>
      <c r="G76" s="17"/>
      <c r="H76" s="5"/>
      <c r="I76" s="5"/>
      <c r="J76" s="5"/>
    </row>
    <row r="77" customFormat="false" ht="16.5" hidden="false" customHeight="true" outlineLevel="0" collapsed="false">
      <c r="A77" s="5"/>
      <c r="B77" s="5"/>
      <c r="C77" s="5"/>
      <c r="D77" s="20"/>
      <c r="E77" s="5"/>
      <c r="F77" s="5"/>
      <c r="G77" s="17"/>
      <c r="H77" s="5"/>
      <c r="I77" s="5"/>
      <c r="J77" s="5"/>
    </row>
    <row r="78" customFormat="false" ht="16.5" hidden="false" customHeight="true" outlineLevel="0" collapsed="false">
      <c r="A78" s="5"/>
      <c r="B78" s="5"/>
      <c r="C78" s="5"/>
      <c r="D78" s="20"/>
      <c r="E78" s="5"/>
      <c r="F78" s="5"/>
      <c r="G78" s="17"/>
      <c r="H78" s="5"/>
      <c r="I78" s="5"/>
      <c r="J78" s="5"/>
    </row>
    <row r="79" customFormat="false" ht="16.5" hidden="false" customHeight="true" outlineLevel="0" collapsed="false">
      <c r="A79" s="5"/>
      <c r="B79" s="5"/>
      <c r="C79" s="5"/>
      <c r="D79" s="20"/>
      <c r="E79" s="5"/>
      <c r="F79" s="5"/>
      <c r="G79" s="17"/>
      <c r="H79" s="5"/>
      <c r="I79" s="5"/>
      <c r="J79" s="5"/>
    </row>
    <row r="80" customFormat="false" ht="16.5" hidden="false" customHeight="true" outlineLevel="0" collapsed="false">
      <c r="A80" s="5"/>
      <c r="B80" s="5"/>
      <c r="C80" s="5"/>
      <c r="D80" s="20"/>
      <c r="E80" s="5"/>
      <c r="F80" s="5"/>
      <c r="G80" s="17"/>
      <c r="H80" s="5"/>
      <c r="I80" s="5"/>
      <c r="J80" s="5"/>
    </row>
    <row r="81" customFormat="false" ht="16.5" hidden="false" customHeight="true" outlineLevel="0" collapsed="false">
      <c r="A81" s="5"/>
      <c r="B81" s="5"/>
      <c r="C81" s="5"/>
      <c r="D81" s="20"/>
      <c r="E81" s="5"/>
      <c r="F81" s="5"/>
      <c r="G81" s="17"/>
      <c r="H81" s="5"/>
      <c r="I81" s="5"/>
      <c r="J81" s="5"/>
    </row>
    <row r="82" customFormat="false" ht="16.5" hidden="false" customHeight="true" outlineLevel="0" collapsed="false">
      <c r="A82" s="5"/>
      <c r="B82" s="5"/>
      <c r="C82" s="5"/>
      <c r="D82" s="20"/>
      <c r="E82" s="5"/>
      <c r="F82" s="5"/>
      <c r="G82" s="17"/>
      <c r="H82" s="5"/>
      <c r="I82" s="5"/>
      <c r="J82" s="5"/>
    </row>
    <row r="83" customFormat="false" ht="16.5" hidden="false" customHeight="true" outlineLevel="0" collapsed="false">
      <c r="A83" s="5"/>
      <c r="B83" s="5"/>
      <c r="C83" s="5"/>
      <c r="D83" s="20"/>
      <c r="E83" s="5"/>
      <c r="F83" s="5"/>
      <c r="G83" s="17"/>
      <c r="H83" s="5"/>
      <c r="I83" s="5"/>
      <c r="J83" s="5"/>
    </row>
    <row r="84" customFormat="false" ht="16.5" hidden="false" customHeight="true" outlineLevel="0" collapsed="false">
      <c r="A84" s="5"/>
      <c r="B84" s="5"/>
      <c r="C84" s="5"/>
      <c r="D84" s="20"/>
      <c r="E84" s="5"/>
      <c r="F84" s="5"/>
      <c r="G84" s="17"/>
      <c r="H84" s="5"/>
      <c r="I84" s="5"/>
      <c r="J84" s="5"/>
    </row>
    <row r="85" customFormat="false" ht="16.5" hidden="false" customHeight="true" outlineLevel="0" collapsed="false">
      <c r="A85" s="5"/>
      <c r="B85" s="5"/>
      <c r="C85" s="5"/>
      <c r="D85" s="20"/>
      <c r="E85" s="5"/>
      <c r="F85" s="5"/>
      <c r="G85" s="17"/>
      <c r="H85" s="5"/>
      <c r="I85" s="5"/>
      <c r="J85" s="5"/>
    </row>
    <row r="86" customFormat="false" ht="16.5" hidden="false" customHeight="true" outlineLevel="0" collapsed="false">
      <c r="A86" s="5"/>
      <c r="B86" s="5"/>
      <c r="C86" s="5"/>
      <c r="D86" s="20"/>
      <c r="E86" s="5"/>
      <c r="F86" s="5"/>
      <c r="G86" s="17"/>
      <c r="H86" s="5"/>
      <c r="I86" s="5"/>
      <c r="J86" s="5"/>
    </row>
    <row r="87" customFormat="false" ht="16.5" hidden="false" customHeight="true" outlineLevel="0" collapsed="false">
      <c r="A87" s="5"/>
      <c r="B87" s="5"/>
      <c r="C87" s="5"/>
      <c r="D87" s="20"/>
      <c r="E87" s="5"/>
      <c r="F87" s="5"/>
      <c r="G87" s="17"/>
      <c r="H87" s="5"/>
      <c r="I87" s="5"/>
      <c r="J87" s="5"/>
    </row>
    <row r="88" customFormat="false" ht="16.5" hidden="false" customHeight="true" outlineLevel="0" collapsed="false">
      <c r="A88" s="5"/>
      <c r="B88" s="5"/>
      <c r="C88" s="5"/>
      <c r="D88" s="20"/>
      <c r="E88" s="5"/>
      <c r="F88" s="5"/>
      <c r="G88" s="17"/>
      <c r="H88" s="5"/>
      <c r="I88" s="5"/>
      <c r="J88" s="5"/>
    </row>
    <row r="89" customFormat="false" ht="16.5" hidden="false" customHeight="true" outlineLevel="0" collapsed="false">
      <c r="A89" s="5"/>
      <c r="B89" s="5"/>
      <c r="C89" s="5"/>
      <c r="D89" s="20"/>
      <c r="E89" s="5"/>
      <c r="F89" s="5"/>
      <c r="G89" s="17"/>
      <c r="H89" s="5"/>
      <c r="I89" s="5"/>
      <c r="J89" s="5"/>
    </row>
    <row r="90" customFormat="false" ht="16.5" hidden="false" customHeight="true" outlineLevel="0" collapsed="false">
      <c r="A90" s="5"/>
      <c r="B90" s="5"/>
      <c r="C90" s="5"/>
      <c r="D90" s="20"/>
      <c r="E90" s="5"/>
      <c r="F90" s="5"/>
      <c r="G90" s="17"/>
      <c r="H90" s="5"/>
      <c r="I90" s="5"/>
      <c r="J90" s="5"/>
    </row>
    <row r="91" customFormat="false" ht="16.5" hidden="false" customHeight="true" outlineLevel="0" collapsed="false">
      <c r="A91" s="5"/>
      <c r="B91" s="5"/>
      <c r="C91" s="5"/>
      <c r="D91" s="20"/>
      <c r="E91" s="5"/>
      <c r="F91" s="5"/>
      <c r="G91" s="17"/>
      <c r="H91" s="5"/>
      <c r="I91" s="5"/>
      <c r="J91" s="5"/>
    </row>
    <row r="92" customFormat="false" ht="16.5" hidden="false" customHeight="true" outlineLevel="0" collapsed="false">
      <c r="A92" s="5"/>
      <c r="B92" s="5"/>
      <c r="C92" s="5"/>
      <c r="D92" s="20"/>
      <c r="E92" s="5"/>
      <c r="F92" s="5"/>
      <c r="G92" s="17"/>
      <c r="H92" s="5"/>
      <c r="I92" s="5"/>
      <c r="J92" s="5"/>
    </row>
    <row r="93" customFormat="false" ht="16.5" hidden="false" customHeight="true" outlineLevel="0" collapsed="false">
      <c r="A93" s="5"/>
      <c r="B93" s="5"/>
      <c r="C93" s="5"/>
      <c r="D93" s="20"/>
      <c r="E93" s="5"/>
      <c r="F93" s="5"/>
      <c r="G93" s="17"/>
      <c r="H93" s="5"/>
      <c r="I93" s="5"/>
      <c r="J93" s="5"/>
    </row>
    <row r="94" customFormat="false" ht="16.5" hidden="false" customHeight="true" outlineLevel="0" collapsed="false">
      <c r="A94" s="5"/>
      <c r="B94" s="5"/>
      <c r="C94" s="5"/>
      <c r="D94" s="20"/>
      <c r="E94" s="5"/>
      <c r="F94" s="5"/>
      <c r="G94" s="17"/>
      <c r="H94" s="5"/>
      <c r="I94" s="5"/>
      <c r="J94" s="5"/>
    </row>
    <row r="95" customFormat="false" ht="16.5" hidden="false" customHeight="true" outlineLevel="0" collapsed="false">
      <c r="A95" s="5"/>
      <c r="B95" s="5"/>
      <c r="C95" s="5"/>
      <c r="D95" s="20"/>
      <c r="E95" s="5"/>
      <c r="F95" s="5"/>
      <c r="G95" s="17"/>
      <c r="H95" s="5"/>
      <c r="I95" s="5"/>
      <c r="J95" s="5"/>
    </row>
    <row r="96" customFormat="false" ht="16.5" hidden="false" customHeight="true" outlineLevel="0" collapsed="false">
      <c r="A96" s="5"/>
      <c r="B96" s="5"/>
      <c r="C96" s="5"/>
      <c r="D96" s="20"/>
      <c r="E96" s="5"/>
      <c r="F96" s="5"/>
      <c r="G96" s="17"/>
      <c r="H96" s="5"/>
      <c r="I96" s="5"/>
      <c r="J96" s="5"/>
    </row>
    <row r="97" customFormat="false" ht="16.5" hidden="false" customHeight="true" outlineLevel="0" collapsed="false">
      <c r="A97" s="5"/>
      <c r="B97" s="5"/>
      <c r="C97" s="5"/>
      <c r="D97" s="20"/>
      <c r="E97" s="5"/>
      <c r="F97" s="5"/>
      <c r="G97" s="17"/>
      <c r="H97" s="5"/>
      <c r="I97" s="5"/>
      <c r="J97" s="5"/>
    </row>
    <row r="98" customFormat="false" ht="16.5" hidden="false" customHeight="true" outlineLevel="0" collapsed="false">
      <c r="A98" s="5"/>
      <c r="B98" s="5"/>
      <c r="C98" s="5"/>
      <c r="D98" s="20"/>
      <c r="E98" s="5"/>
      <c r="F98" s="5"/>
      <c r="G98" s="17"/>
      <c r="H98" s="5"/>
      <c r="I98" s="5"/>
      <c r="J98" s="5"/>
    </row>
    <row r="99" customFormat="false" ht="16.5" hidden="false" customHeight="true" outlineLevel="0" collapsed="false">
      <c r="A99" s="5"/>
      <c r="B99" s="5"/>
      <c r="C99" s="5"/>
      <c r="D99" s="20"/>
      <c r="E99" s="5"/>
      <c r="F99" s="5"/>
      <c r="G99" s="17"/>
      <c r="H99" s="5"/>
      <c r="I99" s="5"/>
      <c r="J99" s="5"/>
    </row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</sheetData>
  <mergeCells count="1">
    <mergeCell ref="A3:K3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2025-11-18T13:01:23Z</dcterms:modified>
  <cp:revision>1</cp:revision>
  <dc:subject/>
  <dc:title/>
</cp:coreProperties>
</file>